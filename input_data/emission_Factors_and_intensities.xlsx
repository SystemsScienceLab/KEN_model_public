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yasa/Environments/SFC_CORE3-Calibration_Ansir/input_data/"/>
    </mc:Choice>
  </mc:AlternateContent>
  <xr:revisionPtr revIDLastSave="0" documentId="13_ncr:1_{D68EB0B5-0207-944E-903B-DACC88D362EF}" xr6:coauthVersionLast="47" xr6:coauthVersionMax="47" xr10:uidLastSave="{00000000-0000-0000-0000-000000000000}"/>
  <bookViews>
    <workbookView xWindow="77260" yWindow="-5660" windowWidth="31920" windowHeight="19280" activeTab="1" xr2:uid="{3C734D5E-8C66-B548-B71E-774CF4150A8E}"/>
  </bookViews>
  <sheets>
    <sheet name="Sheet4" sheetId="1" r:id="rId1"/>
    <sheet name="Sheet1" sheetId="2" r:id="rId2"/>
  </sheets>
  <definedNames>
    <definedName name="_xlnm._FilterDatabase" localSheetId="0" hidden="1">Sheet4!$R$2:$T$87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3" i="2" l="1"/>
  <c r="Z2" i="2"/>
  <c r="Z87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2" i="2"/>
  <c r="V3" i="2"/>
  <c r="W3" i="2"/>
  <c r="V4" i="2"/>
  <c r="W4" i="2"/>
  <c r="V5" i="2"/>
  <c r="W5" i="2"/>
  <c r="V6" i="2"/>
  <c r="W6" i="2"/>
  <c r="V7" i="2"/>
  <c r="W7" i="2"/>
  <c r="V8" i="2"/>
  <c r="W8" i="2"/>
  <c r="V9" i="2"/>
  <c r="W9" i="2"/>
  <c r="V10" i="2"/>
  <c r="W10" i="2"/>
  <c r="V11" i="2"/>
  <c r="W11" i="2"/>
  <c r="V12" i="2"/>
  <c r="W12" i="2"/>
  <c r="V13" i="2"/>
  <c r="W13" i="2"/>
  <c r="V14" i="2"/>
  <c r="W14" i="2"/>
  <c r="V15" i="2"/>
  <c r="W15" i="2"/>
  <c r="V16" i="2"/>
  <c r="W16" i="2"/>
  <c r="V17" i="2"/>
  <c r="W17" i="2"/>
  <c r="V18" i="2"/>
  <c r="W18" i="2"/>
  <c r="V19" i="2"/>
  <c r="W19" i="2"/>
  <c r="V20" i="2"/>
  <c r="W20" i="2"/>
  <c r="V21" i="2"/>
  <c r="W21" i="2"/>
  <c r="V22" i="2"/>
  <c r="W22" i="2"/>
  <c r="V23" i="2"/>
  <c r="W23" i="2"/>
  <c r="V24" i="2"/>
  <c r="W24" i="2"/>
  <c r="V25" i="2"/>
  <c r="W25" i="2"/>
  <c r="V26" i="2"/>
  <c r="W26" i="2"/>
  <c r="V27" i="2"/>
  <c r="W27" i="2"/>
  <c r="V28" i="2"/>
  <c r="W28" i="2"/>
  <c r="V29" i="2"/>
  <c r="W29" i="2"/>
  <c r="V30" i="2"/>
  <c r="W30" i="2"/>
  <c r="V31" i="2"/>
  <c r="W31" i="2"/>
  <c r="V32" i="2"/>
  <c r="W32" i="2"/>
  <c r="V33" i="2"/>
  <c r="W33" i="2"/>
  <c r="V34" i="2"/>
  <c r="W34" i="2"/>
  <c r="V35" i="2"/>
  <c r="W35" i="2"/>
  <c r="V36" i="2"/>
  <c r="W36" i="2"/>
  <c r="V37" i="2"/>
  <c r="W37" i="2"/>
  <c r="V38" i="2"/>
  <c r="W38" i="2"/>
  <c r="V39" i="2"/>
  <c r="W39" i="2"/>
  <c r="V40" i="2"/>
  <c r="W40" i="2"/>
  <c r="V41" i="2"/>
  <c r="W41" i="2"/>
  <c r="V42" i="2"/>
  <c r="W42" i="2"/>
  <c r="V43" i="2"/>
  <c r="W43" i="2"/>
  <c r="V44" i="2"/>
  <c r="W44" i="2"/>
  <c r="V45" i="2"/>
  <c r="W45" i="2"/>
  <c r="V46" i="2"/>
  <c r="W46" i="2"/>
  <c r="V47" i="2"/>
  <c r="W47" i="2"/>
  <c r="V48" i="2"/>
  <c r="W48" i="2"/>
  <c r="V49" i="2"/>
  <c r="W49" i="2"/>
  <c r="V50" i="2"/>
  <c r="W50" i="2"/>
  <c r="V51" i="2"/>
  <c r="W51" i="2"/>
  <c r="V52" i="2"/>
  <c r="W52" i="2"/>
  <c r="V53" i="2"/>
  <c r="W53" i="2"/>
  <c r="V54" i="2"/>
  <c r="W54" i="2"/>
  <c r="V55" i="2"/>
  <c r="W55" i="2"/>
  <c r="V56" i="2"/>
  <c r="W56" i="2"/>
  <c r="V57" i="2"/>
  <c r="W57" i="2"/>
  <c r="V58" i="2"/>
  <c r="W58" i="2"/>
  <c r="V59" i="2"/>
  <c r="W59" i="2"/>
  <c r="V60" i="2"/>
  <c r="W60" i="2"/>
  <c r="V61" i="2"/>
  <c r="W61" i="2"/>
  <c r="V62" i="2"/>
  <c r="W62" i="2"/>
  <c r="V63" i="2"/>
  <c r="W63" i="2"/>
  <c r="V64" i="2"/>
  <c r="W64" i="2"/>
  <c r="V65" i="2"/>
  <c r="W65" i="2"/>
  <c r="V66" i="2"/>
  <c r="W66" i="2"/>
  <c r="V67" i="2"/>
  <c r="W67" i="2"/>
  <c r="V68" i="2"/>
  <c r="W68" i="2"/>
  <c r="V69" i="2"/>
  <c r="W69" i="2"/>
  <c r="V70" i="2"/>
  <c r="W70" i="2"/>
  <c r="V71" i="2"/>
  <c r="W71" i="2"/>
  <c r="V72" i="2"/>
  <c r="W72" i="2"/>
  <c r="V73" i="2"/>
  <c r="W73" i="2"/>
  <c r="V74" i="2"/>
  <c r="W74" i="2"/>
  <c r="V75" i="2"/>
  <c r="W75" i="2"/>
  <c r="V76" i="2"/>
  <c r="W76" i="2"/>
  <c r="V77" i="2"/>
  <c r="W77" i="2"/>
  <c r="V78" i="2"/>
  <c r="W78" i="2"/>
  <c r="V79" i="2"/>
  <c r="W79" i="2"/>
  <c r="V80" i="2"/>
  <c r="W80" i="2"/>
  <c r="V81" i="2"/>
  <c r="W81" i="2"/>
  <c r="V82" i="2"/>
  <c r="W82" i="2"/>
  <c r="V83" i="2"/>
  <c r="W83" i="2"/>
  <c r="V84" i="2"/>
  <c r="W84" i="2"/>
  <c r="V85" i="2"/>
  <c r="W85" i="2"/>
  <c r="V86" i="2"/>
  <c r="W86" i="2"/>
  <c r="V87" i="2"/>
  <c r="W87" i="2"/>
  <c r="W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V2" i="2"/>
  <c r="U2" i="2"/>
  <c r="P3" i="2"/>
  <c r="P2" i="2"/>
  <c r="Q87" i="2"/>
  <c r="P87" i="2"/>
  <c r="F87" i="2"/>
  <c r="G87" i="2" s="1"/>
  <c r="O87" i="2" s="1"/>
  <c r="E87" i="2"/>
  <c r="Q86" i="2"/>
  <c r="P86" i="2"/>
  <c r="F86" i="2"/>
  <c r="G86" i="2" s="1"/>
  <c r="O86" i="2" s="1"/>
  <c r="E86" i="2"/>
  <c r="Q85" i="2"/>
  <c r="P85" i="2"/>
  <c r="O85" i="2"/>
  <c r="I85" i="2"/>
  <c r="G85" i="2"/>
  <c r="F85" i="2"/>
  <c r="E85" i="2"/>
  <c r="P84" i="2"/>
  <c r="I84" i="2"/>
  <c r="Q84" i="2" s="1"/>
  <c r="G84" i="2"/>
  <c r="O84" i="2" s="1"/>
  <c r="F84" i="2"/>
  <c r="E84" i="2"/>
  <c r="P83" i="2"/>
  <c r="G83" i="2"/>
  <c r="O83" i="2" s="1"/>
  <c r="F83" i="2"/>
  <c r="E83" i="2"/>
  <c r="I83" i="2" s="1"/>
  <c r="Q83" i="2" s="1"/>
  <c r="Q82" i="2"/>
  <c r="P82" i="2"/>
  <c r="I82" i="2"/>
  <c r="F82" i="2"/>
  <c r="G82" i="2" s="1"/>
  <c r="O82" i="2" s="1"/>
  <c r="E82" i="2"/>
  <c r="P81" i="2"/>
  <c r="I81" i="2"/>
  <c r="Q81" i="2" s="1"/>
  <c r="F81" i="2"/>
  <c r="G81" i="2" s="1"/>
  <c r="O81" i="2" s="1"/>
  <c r="E81" i="2"/>
  <c r="P80" i="2"/>
  <c r="F80" i="2"/>
  <c r="G80" i="2" s="1"/>
  <c r="O80" i="2" s="1"/>
  <c r="E80" i="2"/>
  <c r="I80" i="2" s="1"/>
  <c r="Q80" i="2" s="1"/>
  <c r="P79" i="2"/>
  <c r="F79" i="2"/>
  <c r="G79" i="2" s="1"/>
  <c r="O79" i="2" s="1"/>
  <c r="E79" i="2"/>
  <c r="I79" i="2" s="1"/>
  <c r="Q79" i="2" s="1"/>
  <c r="P78" i="2"/>
  <c r="O78" i="2"/>
  <c r="I78" i="2"/>
  <c r="Q78" i="2" s="1"/>
  <c r="G78" i="2"/>
  <c r="F78" i="2"/>
  <c r="E78" i="2"/>
  <c r="P77" i="2"/>
  <c r="F77" i="2"/>
  <c r="G77" i="2" s="1"/>
  <c r="O77" i="2" s="1"/>
  <c r="E77" i="2"/>
  <c r="I77" i="2" s="1"/>
  <c r="Q77" i="2" s="1"/>
  <c r="P76" i="2"/>
  <c r="F76" i="2"/>
  <c r="G76" i="2" s="1"/>
  <c r="O76" i="2" s="1"/>
  <c r="E76" i="2"/>
  <c r="I76" i="2" s="1"/>
  <c r="Q76" i="2" s="1"/>
  <c r="Q75" i="2"/>
  <c r="P75" i="2"/>
  <c r="O75" i="2"/>
  <c r="I75" i="2"/>
  <c r="G75" i="2"/>
  <c r="F75" i="2"/>
  <c r="E75" i="2"/>
  <c r="P74" i="2"/>
  <c r="I74" i="2"/>
  <c r="Q74" i="2" s="1"/>
  <c r="G74" i="2"/>
  <c r="O74" i="2" s="1"/>
  <c r="F74" i="2"/>
  <c r="E74" i="2"/>
  <c r="P73" i="2"/>
  <c r="G73" i="2"/>
  <c r="O73" i="2" s="1"/>
  <c r="F73" i="2"/>
  <c r="E73" i="2"/>
  <c r="I73" i="2" s="1"/>
  <c r="Q73" i="2" s="1"/>
  <c r="Q72" i="2"/>
  <c r="P72" i="2"/>
  <c r="I72" i="2"/>
  <c r="F72" i="2"/>
  <c r="G72" i="2" s="1"/>
  <c r="O72" i="2" s="1"/>
  <c r="E72" i="2"/>
  <c r="P71" i="2"/>
  <c r="I71" i="2"/>
  <c r="Q71" i="2" s="1"/>
  <c r="F71" i="2"/>
  <c r="G71" i="2" s="1"/>
  <c r="O71" i="2" s="1"/>
  <c r="E71" i="2"/>
  <c r="P70" i="2"/>
  <c r="F70" i="2"/>
  <c r="G70" i="2" s="1"/>
  <c r="O70" i="2" s="1"/>
  <c r="E70" i="2"/>
  <c r="I70" i="2" s="1"/>
  <c r="Q70" i="2" s="1"/>
  <c r="P69" i="2"/>
  <c r="F69" i="2"/>
  <c r="G69" i="2" s="1"/>
  <c r="O69" i="2" s="1"/>
  <c r="E69" i="2"/>
  <c r="I69" i="2" s="1"/>
  <c r="Q69" i="2" s="1"/>
  <c r="P68" i="2"/>
  <c r="O68" i="2"/>
  <c r="I68" i="2"/>
  <c r="Q68" i="2" s="1"/>
  <c r="G68" i="2"/>
  <c r="F68" i="2"/>
  <c r="E68" i="2"/>
  <c r="P67" i="2"/>
  <c r="F67" i="2"/>
  <c r="G67" i="2" s="1"/>
  <c r="O67" i="2" s="1"/>
  <c r="E67" i="2"/>
  <c r="I67" i="2" s="1"/>
  <c r="Q67" i="2" s="1"/>
  <c r="P66" i="2"/>
  <c r="F66" i="2"/>
  <c r="G66" i="2" s="1"/>
  <c r="O66" i="2" s="1"/>
  <c r="E66" i="2"/>
  <c r="I66" i="2" s="1"/>
  <c r="Q66" i="2" s="1"/>
  <c r="Q65" i="2"/>
  <c r="P65" i="2"/>
  <c r="O65" i="2"/>
  <c r="I65" i="2"/>
  <c r="G65" i="2"/>
  <c r="F65" i="2"/>
  <c r="E65" i="2"/>
  <c r="P64" i="2"/>
  <c r="I64" i="2"/>
  <c r="Q64" i="2" s="1"/>
  <c r="G64" i="2"/>
  <c r="O64" i="2" s="1"/>
  <c r="F64" i="2"/>
  <c r="E64" i="2"/>
  <c r="P63" i="2"/>
  <c r="G63" i="2"/>
  <c r="O63" i="2" s="1"/>
  <c r="F63" i="2"/>
  <c r="E63" i="2"/>
  <c r="I63" i="2" s="1"/>
  <c r="Q63" i="2" s="1"/>
  <c r="Q62" i="2"/>
  <c r="P62" i="2"/>
  <c r="I62" i="2"/>
  <c r="F62" i="2"/>
  <c r="G62" i="2" s="1"/>
  <c r="O62" i="2" s="1"/>
  <c r="E62" i="2"/>
  <c r="P61" i="2"/>
  <c r="I61" i="2"/>
  <c r="Q61" i="2" s="1"/>
  <c r="F61" i="2"/>
  <c r="G61" i="2" s="1"/>
  <c r="O61" i="2" s="1"/>
  <c r="E61" i="2"/>
  <c r="P60" i="2"/>
  <c r="F60" i="2"/>
  <c r="G60" i="2" s="1"/>
  <c r="O60" i="2" s="1"/>
  <c r="E60" i="2"/>
  <c r="I60" i="2" s="1"/>
  <c r="Q60" i="2" s="1"/>
  <c r="P59" i="2"/>
  <c r="F59" i="2"/>
  <c r="G59" i="2" s="1"/>
  <c r="O59" i="2" s="1"/>
  <c r="E59" i="2"/>
  <c r="I59" i="2" s="1"/>
  <c r="Q59" i="2" s="1"/>
  <c r="P58" i="2"/>
  <c r="O58" i="2"/>
  <c r="I58" i="2"/>
  <c r="Q58" i="2" s="1"/>
  <c r="G58" i="2"/>
  <c r="F58" i="2"/>
  <c r="E58" i="2"/>
  <c r="P57" i="2"/>
  <c r="F57" i="2"/>
  <c r="G57" i="2" s="1"/>
  <c r="O57" i="2" s="1"/>
  <c r="E57" i="2"/>
  <c r="I57" i="2" s="1"/>
  <c r="Q57" i="2" s="1"/>
  <c r="P56" i="2"/>
  <c r="F56" i="2"/>
  <c r="G56" i="2" s="1"/>
  <c r="O56" i="2" s="1"/>
  <c r="E56" i="2"/>
  <c r="I56" i="2" s="1"/>
  <c r="Q56" i="2" s="1"/>
  <c r="Q55" i="2"/>
  <c r="P55" i="2"/>
  <c r="O55" i="2"/>
  <c r="I55" i="2"/>
  <c r="G55" i="2"/>
  <c r="F55" i="2"/>
  <c r="E55" i="2"/>
  <c r="P54" i="2"/>
  <c r="I54" i="2"/>
  <c r="Q54" i="2" s="1"/>
  <c r="G54" i="2"/>
  <c r="O54" i="2" s="1"/>
  <c r="F54" i="2"/>
  <c r="E54" i="2"/>
  <c r="P53" i="2"/>
  <c r="G53" i="2"/>
  <c r="O53" i="2" s="1"/>
  <c r="F53" i="2"/>
  <c r="E53" i="2"/>
  <c r="I53" i="2" s="1"/>
  <c r="Q53" i="2" s="1"/>
  <c r="Q52" i="2"/>
  <c r="P52" i="2"/>
  <c r="I52" i="2"/>
  <c r="F52" i="2"/>
  <c r="G52" i="2" s="1"/>
  <c r="O52" i="2" s="1"/>
  <c r="E52" i="2"/>
  <c r="P51" i="2"/>
  <c r="I51" i="2"/>
  <c r="Q51" i="2" s="1"/>
  <c r="F51" i="2"/>
  <c r="G51" i="2" s="1"/>
  <c r="O51" i="2" s="1"/>
  <c r="E51" i="2"/>
  <c r="P50" i="2"/>
  <c r="F50" i="2"/>
  <c r="G50" i="2" s="1"/>
  <c r="O50" i="2" s="1"/>
  <c r="E50" i="2"/>
  <c r="I50" i="2" s="1"/>
  <c r="Q50" i="2" s="1"/>
  <c r="P49" i="2"/>
  <c r="F49" i="2"/>
  <c r="G49" i="2" s="1"/>
  <c r="O49" i="2" s="1"/>
  <c r="E49" i="2"/>
  <c r="I49" i="2" s="1"/>
  <c r="Q49" i="2" s="1"/>
  <c r="P48" i="2"/>
  <c r="O48" i="2"/>
  <c r="I48" i="2"/>
  <c r="Q48" i="2" s="1"/>
  <c r="G48" i="2"/>
  <c r="F48" i="2"/>
  <c r="E48" i="2"/>
  <c r="P47" i="2"/>
  <c r="F47" i="2"/>
  <c r="G47" i="2" s="1"/>
  <c r="O47" i="2" s="1"/>
  <c r="E47" i="2"/>
  <c r="I47" i="2" s="1"/>
  <c r="Q47" i="2" s="1"/>
  <c r="P46" i="2"/>
  <c r="F46" i="2"/>
  <c r="G46" i="2" s="1"/>
  <c r="O46" i="2" s="1"/>
  <c r="E46" i="2"/>
  <c r="I46" i="2" s="1"/>
  <c r="Q46" i="2" s="1"/>
  <c r="Q45" i="2"/>
  <c r="P45" i="2"/>
  <c r="M45" i="2"/>
  <c r="I45" i="2"/>
  <c r="F45" i="2"/>
  <c r="G45" i="2" s="1"/>
  <c r="O45" i="2" s="1"/>
  <c r="E45" i="2"/>
  <c r="P44" i="2"/>
  <c r="O44" i="2"/>
  <c r="M44" i="2"/>
  <c r="I44" i="2"/>
  <c r="Q44" i="2" s="1"/>
  <c r="G44" i="2"/>
  <c r="F44" i="2"/>
  <c r="E44" i="2"/>
  <c r="P43" i="2"/>
  <c r="M43" i="2"/>
  <c r="I43" i="2"/>
  <c r="Q43" i="2" s="1"/>
  <c r="G43" i="2"/>
  <c r="O43" i="2" s="1"/>
  <c r="F43" i="2"/>
  <c r="E43" i="2"/>
  <c r="P42" i="2"/>
  <c r="M42" i="2"/>
  <c r="F42" i="2"/>
  <c r="G42" i="2" s="1"/>
  <c r="O42" i="2" s="1"/>
  <c r="E42" i="2"/>
  <c r="I42" i="2" s="1"/>
  <c r="Q42" i="2" s="1"/>
  <c r="O41" i="2"/>
  <c r="M41" i="2"/>
  <c r="G41" i="2"/>
  <c r="F41" i="2"/>
  <c r="H41" i="2" s="1"/>
  <c r="P41" i="2" s="1"/>
  <c r="E41" i="2"/>
  <c r="I41" i="2" s="1"/>
  <c r="Q41" i="2" s="1"/>
  <c r="M40" i="2"/>
  <c r="F40" i="2"/>
  <c r="H40" i="2" s="1"/>
  <c r="P40" i="2" s="1"/>
  <c r="E40" i="2"/>
  <c r="I40" i="2" s="1"/>
  <c r="Q40" i="2" s="1"/>
  <c r="M39" i="2"/>
  <c r="F39" i="2"/>
  <c r="H39" i="2" s="1"/>
  <c r="P39" i="2" s="1"/>
  <c r="E39" i="2"/>
  <c r="I39" i="2" s="1"/>
  <c r="Q39" i="2" s="1"/>
  <c r="Q38" i="2"/>
  <c r="M38" i="2"/>
  <c r="I38" i="2"/>
  <c r="F38" i="2"/>
  <c r="G38" i="2" s="1"/>
  <c r="O38" i="2" s="1"/>
  <c r="E38" i="2"/>
  <c r="Q37" i="2"/>
  <c r="P37" i="2"/>
  <c r="M37" i="2"/>
  <c r="I37" i="2"/>
  <c r="H37" i="2"/>
  <c r="F37" i="2"/>
  <c r="G37" i="2" s="1"/>
  <c r="O37" i="2" s="1"/>
  <c r="E37" i="2"/>
  <c r="P36" i="2"/>
  <c r="O36" i="2"/>
  <c r="M36" i="2"/>
  <c r="I36" i="2"/>
  <c r="Q36" i="2" s="1"/>
  <c r="H36" i="2"/>
  <c r="G36" i="2"/>
  <c r="F36" i="2"/>
  <c r="E36" i="2"/>
  <c r="O35" i="2"/>
  <c r="M35" i="2"/>
  <c r="I35" i="2"/>
  <c r="Q35" i="2" s="1"/>
  <c r="H35" i="2"/>
  <c r="P35" i="2" s="1"/>
  <c r="G35" i="2"/>
  <c r="F35" i="2"/>
  <c r="E35" i="2"/>
  <c r="M34" i="2"/>
  <c r="I34" i="2"/>
  <c r="Q34" i="2" s="1"/>
  <c r="H34" i="2"/>
  <c r="P34" i="2" s="1"/>
  <c r="G34" i="2"/>
  <c r="O34" i="2" s="1"/>
  <c r="F34" i="2"/>
  <c r="E34" i="2"/>
  <c r="M33" i="2"/>
  <c r="I33" i="2"/>
  <c r="Q33" i="2" s="1"/>
  <c r="F33" i="2"/>
  <c r="H33" i="2" s="1"/>
  <c r="P33" i="2" s="1"/>
  <c r="E33" i="2"/>
  <c r="M32" i="2"/>
  <c r="F32" i="2"/>
  <c r="H32" i="2" s="1"/>
  <c r="P32" i="2" s="1"/>
  <c r="E32" i="2"/>
  <c r="I32" i="2" s="1"/>
  <c r="Q32" i="2" s="1"/>
  <c r="M31" i="2"/>
  <c r="F31" i="2"/>
  <c r="H31" i="2" s="1"/>
  <c r="P31" i="2" s="1"/>
  <c r="E31" i="2"/>
  <c r="I31" i="2" s="1"/>
  <c r="Q31" i="2" s="1"/>
  <c r="M30" i="2"/>
  <c r="F30" i="2"/>
  <c r="H30" i="2" s="1"/>
  <c r="P30" i="2" s="1"/>
  <c r="E30" i="2"/>
  <c r="I30" i="2" s="1"/>
  <c r="Q30" i="2" s="1"/>
  <c r="M29" i="2"/>
  <c r="F29" i="2"/>
  <c r="H29" i="2" s="1"/>
  <c r="P29" i="2" s="1"/>
  <c r="E29" i="2"/>
  <c r="I29" i="2" s="1"/>
  <c r="Q29" i="2" s="1"/>
  <c r="Q28" i="2"/>
  <c r="M28" i="2"/>
  <c r="I28" i="2"/>
  <c r="F28" i="2"/>
  <c r="G28" i="2" s="1"/>
  <c r="O28" i="2" s="1"/>
  <c r="E28" i="2"/>
  <c r="Q27" i="2"/>
  <c r="P27" i="2"/>
  <c r="M27" i="2"/>
  <c r="I27" i="2"/>
  <c r="H27" i="2"/>
  <c r="F27" i="2"/>
  <c r="G27" i="2" s="1"/>
  <c r="O27" i="2" s="1"/>
  <c r="E27" i="2"/>
  <c r="O26" i="2"/>
  <c r="M26" i="2"/>
  <c r="I26" i="2"/>
  <c r="Q26" i="2" s="1"/>
  <c r="H26" i="2"/>
  <c r="P26" i="2" s="1"/>
  <c r="G26" i="2"/>
  <c r="F26" i="2"/>
  <c r="E26" i="2"/>
  <c r="M25" i="2"/>
  <c r="I25" i="2"/>
  <c r="Q25" i="2" s="1"/>
  <c r="H25" i="2"/>
  <c r="P25" i="2" s="1"/>
  <c r="G25" i="2"/>
  <c r="O25" i="2" s="1"/>
  <c r="F25" i="2"/>
  <c r="E25" i="2"/>
  <c r="M24" i="2"/>
  <c r="I24" i="2"/>
  <c r="Q24" i="2" s="1"/>
  <c r="H24" i="2"/>
  <c r="P24" i="2" s="1"/>
  <c r="G24" i="2"/>
  <c r="O24" i="2" s="1"/>
  <c r="F24" i="2"/>
  <c r="E24" i="2"/>
  <c r="M23" i="2"/>
  <c r="F23" i="2"/>
  <c r="H23" i="2" s="1"/>
  <c r="P23" i="2" s="1"/>
  <c r="E23" i="2"/>
  <c r="I23" i="2" s="1"/>
  <c r="Q23" i="2" s="1"/>
  <c r="M22" i="2"/>
  <c r="F22" i="2"/>
  <c r="H22" i="2" s="1"/>
  <c r="P22" i="2" s="1"/>
  <c r="E22" i="2"/>
  <c r="I22" i="2" s="1"/>
  <c r="Q22" i="2" s="1"/>
  <c r="M21" i="2"/>
  <c r="F21" i="2"/>
  <c r="H21" i="2" s="1"/>
  <c r="P21" i="2" s="1"/>
  <c r="E21" i="2"/>
  <c r="I21" i="2" s="1"/>
  <c r="Q21" i="2" s="1"/>
  <c r="M20" i="2"/>
  <c r="F20" i="2"/>
  <c r="H20" i="2" s="1"/>
  <c r="P20" i="2" s="1"/>
  <c r="E20" i="2"/>
  <c r="I20" i="2" s="1"/>
  <c r="Q20" i="2" s="1"/>
  <c r="Q19" i="2"/>
  <c r="I19" i="2"/>
  <c r="F19" i="2"/>
  <c r="G19" i="2" s="1"/>
  <c r="O19" i="2" s="1"/>
  <c r="E19" i="2"/>
  <c r="P18" i="2"/>
  <c r="O18" i="2"/>
  <c r="I18" i="2"/>
  <c r="Q18" i="2" s="1"/>
  <c r="H18" i="2"/>
  <c r="G18" i="2"/>
  <c r="F18" i="2"/>
  <c r="E18" i="2"/>
  <c r="I17" i="2"/>
  <c r="Q17" i="2" s="1"/>
  <c r="H17" i="2"/>
  <c r="P17" i="2" s="1"/>
  <c r="G17" i="2"/>
  <c r="O17" i="2" s="1"/>
  <c r="F17" i="2"/>
  <c r="E17" i="2"/>
  <c r="F16" i="2"/>
  <c r="G16" i="2" s="1"/>
  <c r="O16" i="2" s="1"/>
  <c r="E16" i="2"/>
  <c r="I16" i="2" s="1"/>
  <c r="Q16" i="2" s="1"/>
  <c r="F15" i="2"/>
  <c r="H15" i="2" s="1"/>
  <c r="P15" i="2" s="1"/>
  <c r="E15" i="2"/>
  <c r="I15" i="2" s="1"/>
  <c r="Q15" i="2" s="1"/>
  <c r="Q14" i="2"/>
  <c r="I14" i="2"/>
  <c r="F14" i="2"/>
  <c r="G14" i="2" s="1"/>
  <c r="O14" i="2" s="1"/>
  <c r="E14" i="2"/>
  <c r="P13" i="2"/>
  <c r="O13" i="2"/>
  <c r="I13" i="2"/>
  <c r="Q13" i="2" s="1"/>
  <c r="H13" i="2"/>
  <c r="G13" i="2"/>
  <c r="F13" i="2"/>
  <c r="E13" i="2"/>
  <c r="I12" i="2"/>
  <c r="Q12" i="2" s="1"/>
  <c r="H12" i="2"/>
  <c r="P12" i="2" s="1"/>
  <c r="G12" i="2"/>
  <c r="O12" i="2" s="1"/>
  <c r="F12" i="2"/>
  <c r="E12" i="2"/>
  <c r="F11" i="2"/>
  <c r="H11" i="2" s="1"/>
  <c r="P11" i="2" s="1"/>
  <c r="E11" i="2"/>
  <c r="I11" i="2" s="1"/>
  <c r="Q11" i="2" s="1"/>
  <c r="F10" i="2"/>
  <c r="H10" i="2" s="1"/>
  <c r="P10" i="2" s="1"/>
  <c r="E10" i="2"/>
  <c r="I10" i="2" s="1"/>
  <c r="Q10" i="2" s="1"/>
  <c r="Q9" i="2"/>
  <c r="I9" i="2"/>
  <c r="F9" i="2"/>
  <c r="G9" i="2" s="1"/>
  <c r="O9" i="2" s="1"/>
  <c r="E9" i="2"/>
  <c r="P8" i="2"/>
  <c r="O8" i="2"/>
  <c r="I8" i="2"/>
  <c r="Q8" i="2" s="1"/>
  <c r="H8" i="2"/>
  <c r="G8" i="2"/>
  <c r="F8" i="2"/>
  <c r="E8" i="2"/>
  <c r="I7" i="2"/>
  <c r="Q7" i="2" s="1"/>
  <c r="H7" i="2"/>
  <c r="P7" i="2" s="1"/>
  <c r="G7" i="2"/>
  <c r="O7" i="2" s="1"/>
  <c r="F7" i="2"/>
  <c r="E7" i="2"/>
  <c r="F6" i="2"/>
  <c r="H6" i="2" s="1"/>
  <c r="P6" i="2" s="1"/>
  <c r="E6" i="2"/>
  <c r="I6" i="2" s="1"/>
  <c r="Q6" i="2" s="1"/>
  <c r="F5" i="2"/>
  <c r="H5" i="2" s="1"/>
  <c r="P5" i="2" s="1"/>
  <c r="E5" i="2"/>
  <c r="I5" i="2" s="1"/>
  <c r="H4" i="2"/>
  <c r="P4" i="2" s="1"/>
  <c r="F4" i="2"/>
  <c r="E4" i="2"/>
  <c r="F3" i="2"/>
  <c r="H3" i="2" s="1"/>
  <c r="E3" i="2"/>
  <c r="F2" i="2"/>
  <c r="H2" i="2" s="1"/>
  <c r="E2" i="2"/>
  <c r="O42" i="1"/>
  <c r="O7" i="1"/>
  <c r="P4" i="1"/>
  <c r="P3" i="1"/>
  <c r="P2" i="1"/>
  <c r="H4" i="1"/>
  <c r="H3" i="1"/>
  <c r="H2" i="1"/>
  <c r="P8" i="1"/>
  <c r="Q8" i="1"/>
  <c r="Q6" i="1"/>
  <c r="Q7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5" i="1"/>
  <c r="P6" i="1"/>
  <c r="P7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5" i="1"/>
  <c r="O86" i="1"/>
  <c r="O6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7" i="1"/>
  <c r="O5" i="1"/>
  <c r="E2" i="1"/>
  <c r="F2" i="1"/>
  <c r="E3" i="1"/>
  <c r="F3" i="1"/>
  <c r="E4" i="1"/>
  <c r="F4" i="1"/>
  <c r="E5" i="1"/>
  <c r="I5" i="1" s="1"/>
  <c r="F5" i="1"/>
  <c r="G5" i="1" s="1"/>
  <c r="E6" i="1"/>
  <c r="F6" i="1"/>
  <c r="G6" i="1" s="1"/>
  <c r="I6" i="1"/>
  <c r="E7" i="1"/>
  <c r="I7" i="1" s="1"/>
  <c r="F7" i="1"/>
  <c r="H7" i="1" s="1"/>
  <c r="G7" i="1"/>
  <c r="E8" i="1"/>
  <c r="I8" i="1" s="1"/>
  <c r="F8" i="1"/>
  <c r="G8" i="1" s="1"/>
  <c r="E9" i="1"/>
  <c r="I9" i="1" s="1"/>
  <c r="F9" i="1"/>
  <c r="G9" i="1" s="1"/>
  <c r="E10" i="1"/>
  <c r="I10" i="1" s="1"/>
  <c r="F10" i="1"/>
  <c r="H10" i="1" s="1"/>
  <c r="G10" i="1"/>
  <c r="E11" i="1"/>
  <c r="I11" i="1" s="1"/>
  <c r="F11" i="1"/>
  <c r="G11" i="1" s="1"/>
  <c r="H11" i="1"/>
  <c r="E12" i="1"/>
  <c r="I12" i="1" s="1"/>
  <c r="F12" i="1"/>
  <c r="G12" i="1" s="1"/>
  <c r="E13" i="1"/>
  <c r="I13" i="1" s="1"/>
  <c r="F13" i="1"/>
  <c r="G13" i="1" s="1"/>
  <c r="E14" i="1"/>
  <c r="I14" i="1" s="1"/>
  <c r="F14" i="1"/>
  <c r="G14" i="1" s="1"/>
  <c r="E15" i="1"/>
  <c r="I15" i="1" s="1"/>
  <c r="F15" i="1"/>
  <c r="G15" i="1" s="1"/>
  <c r="E16" i="1"/>
  <c r="I16" i="1" s="1"/>
  <c r="F16" i="1"/>
  <c r="H16" i="1" s="1"/>
  <c r="G16" i="1"/>
  <c r="E17" i="1"/>
  <c r="I17" i="1" s="1"/>
  <c r="F17" i="1"/>
  <c r="G17" i="1"/>
  <c r="H17" i="1"/>
  <c r="E18" i="1"/>
  <c r="I18" i="1" s="1"/>
  <c r="F18" i="1"/>
  <c r="H18" i="1" s="1"/>
  <c r="G18" i="1"/>
  <c r="E19" i="1"/>
  <c r="I19" i="1" s="1"/>
  <c r="F19" i="1"/>
  <c r="H19" i="1" s="1"/>
  <c r="G19" i="1"/>
  <c r="E20" i="1"/>
  <c r="I20" i="1" s="1"/>
  <c r="F20" i="1"/>
  <c r="G20" i="1"/>
  <c r="H20" i="1"/>
  <c r="M20" i="1"/>
  <c r="E21" i="1"/>
  <c r="I21" i="1" s="1"/>
  <c r="F21" i="1"/>
  <c r="G21" i="1"/>
  <c r="H21" i="1"/>
  <c r="M21" i="1"/>
  <c r="E22" i="1"/>
  <c r="I22" i="1" s="1"/>
  <c r="F22" i="1"/>
  <c r="H22" i="1" s="1"/>
  <c r="M22" i="1"/>
  <c r="E23" i="1"/>
  <c r="I23" i="1" s="1"/>
  <c r="F23" i="1"/>
  <c r="G23" i="1" s="1"/>
  <c r="M23" i="1"/>
  <c r="E24" i="1"/>
  <c r="I24" i="1" s="1"/>
  <c r="F24" i="1"/>
  <c r="G24" i="1" s="1"/>
  <c r="M24" i="1"/>
  <c r="E25" i="1"/>
  <c r="I25" i="1" s="1"/>
  <c r="F25" i="1"/>
  <c r="G25" i="1" s="1"/>
  <c r="M25" i="1"/>
  <c r="E26" i="1"/>
  <c r="I26" i="1" s="1"/>
  <c r="F26" i="1"/>
  <c r="H26" i="1" s="1"/>
  <c r="G26" i="1"/>
  <c r="M26" i="1"/>
  <c r="E27" i="1"/>
  <c r="I27" i="1" s="1"/>
  <c r="F27" i="1"/>
  <c r="G27" i="1" s="1"/>
  <c r="M27" i="1"/>
  <c r="E28" i="1"/>
  <c r="I28" i="1" s="1"/>
  <c r="F28" i="1"/>
  <c r="G28" i="1" s="1"/>
  <c r="H28" i="1"/>
  <c r="M28" i="1"/>
  <c r="E29" i="1"/>
  <c r="I29" i="1" s="1"/>
  <c r="F29" i="1"/>
  <c r="G29" i="1" s="1"/>
  <c r="M29" i="1"/>
  <c r="E30" i="1"/>
  <c r="I30" i="1" s="1"/>
  <c r="F30" i="1"/>
  <c r="G30" i="1" s="1"/>
  <c r="M30" i="1"/>
  <c r="E31" i="1"/>
  <c r="I31" i="1" s="1"/>
  <c r="F31" i="1"/>
  <c r="G31" i="1" s="1"/>
  <c r="M31" i="1"/>
  <c r="E32" i="1"/>
  <c r="I32" i="1" s="1"/>
  <c r="F32" i="1"/>
  <c r="H32" i="1" s="1"/>
  <c r="M32" i="1"/>
  <c r="E33" i="1"/>
  <c r="I33" i="1" s="1"/>
  <c r="F33" i="1"/>
  <c r="G33" i="1" s="1"/>
  <c r="M33" i="1"/>
  <c r="E34" i="1"/>
  <c r="I34" i="1" s="1"/>
  <c r="F34" i="1"/>
  <c r="G34" i="1" s="1"/>
  <c r="M34" i="1"/>
  <c r="E35" i="1"/>
  <c r="I35" i="1" s="1"/>
  <c r="F35" i="1"/>
  <c r="G35" i="1" s="1"/>
  <c r="M35" i="1"/>
  <c r="E36" i="1"/>
  <c r="I36" i="1" s="1"/>
  <c r="F36" i="1"/>
  <c r="G36" i="1" s="1"/>
  <c r="H36" i="1"/>
  <c r="M36" i="1"/>
  <c r="E37" i="1"/>
  <c r="I37" i="1" s="1"/>
  <c r="F37" i="1"/>
  <c r="H37" i="1" s="1"/>
  <c r="G37" i="1"/>
  <c r="M37" i="1"/>
  <c r="E38" i="1"/>
  <c r="I38" i="1" s="1"/>
  <c r="F38" i="1"/>
  <c r="G38" i="1" s="1"/>
  <c r="M38" i="1"/>
  <c r="E39" i="1"/>
  <c r="I39" i="1" s="1"/>
  <c r="F39" i="1"/>
  <c r="G39" i="1" s="1"/>
  <c r="M39" i="1"/>
  <c r="E40" i="1"/>
  <c r="I40" i="1" s="1"/>
  <c r="F40" i="1"/>
  <c r="H40" i="1" s="1"/>
  <c r="G40" i="1"/>
  <c r="M40" i="1"/>
  <c r="E41" i="1"/>
  <c r="I41" i="1" s="1"/>
  <c r="F41" i="1"/>
  <c r="H41" i="1" s="1"/>
  <c r="G41" i="1"/>
  <c r="M41" i="1"/>
  <c r="E42" i="1"/>
  <c r="I42" i="1" s="1"/>
  <c r="F42" i="1"/>
  <c r="G42" i="1" s="1"/>
  <c r="M42" i="1"/>
  <c r="E43" i="1"/>
  <c r="F43" i="1"/>
  <c r="G43" i="1"/>
  <c r="I43" i="1"/>
  <c r="M43" i="1"/>
  <c r="E44" i="1"/>
  <c r="I44" i="1" s="1"/>
  <c r="F44" i="1"/>
  <c r="G44" i="1" s="1"/>
  <c r="M44" i="1"/>
  <c r="E45" i="1"/>
  <c r="I45" i="1" s="1"/>
  <c r="F45" i="1"/>
  <c r="G45" i="1" s="1"/>
  <c r="M45" i="1"/>
  <c r="E46" i="1"/>
  <c r="I46" i="1" s="1"/>
  <c r="F46" i="1"/>
  <c r="G46" i="1" s="1"/>
  <c r="E47" i="1"/>
  <c r="I47" i="1" s="1"/>
  <c r="F47" i="1"/>
  <c r="G47" i="1"/>
  <c r="E48" i="1"/>
  <c r="I48" i="1" s="1"/>
  <c r="F48" i="1"/>
  <c r="G48" i="1" s="1"/>
  <c r="E49" i="1"/>
  <c r="I49" i="1" s="1"/>
  <c r="F49" i="1"/>
  <c r="G49" i="1" s="1"/>
  <c r="E50" i="1"/>
  <c r="F50" i="1"/>
  <c r="G50" i="1" s="1"/>
  <c r="I50" i="1"/>
  <c r="E51" i="1"/>
  <c r="I51" i="1" s="1"/>
  <c r="F51" i="1"/>
  <c r="G51" i="1"/>
  <c r="E52" i="1"/>
  <c r="I52" i="1" s="1"/>
  <c r="F52" i="1"/>
  <c r="G52" i="1" s="1"/>
  <c r="E53" i="1"/>
  <c r="I53" i="1" s="1"/>
  <c r="F53" i="1"/>
  <c r="G53" i="1" s="1"/>
  <c r="E54" i="1"/>
  <c r="I54" i="1" s="1"/>
  <c r="F54" i="1"/>
  <c r="G54" i="1" s="1"/>
  <c r="E55" i="1"/>
  <c r="I55" i="1" s="1"/>
  <c r="F55" i="1"/>
  <c r="G55" i="1" s="1"/>
  <c r="E56" i="1"/>
  <c r="I56" i="1" s="1"/>
  <c r="F56" i="1"/>
  <c r="G56" i="1" s="1"/>
  <c r="E57" i="1"/>
  <c r="I57" i="1" s="1"/>
  <c r="F57" i="1"/>
  <c r="G57" i="1" s="1"/>
  <c r="E58" i="1"/>
  <c r="I58" i="1" s="1"/>
  <c r="F58" i="1"/>
  <c r="G58" i="1"/>
  <c r="E59" i="1"/>
  <c r="I59" i="1" s="1"/>
  <c r="F59" i="1"/>
  <c r="G59" i="1" s="1"/>
  <c r="E60" i="1"/>
  <c r="I60" i="1" s="1"/>
  <c r="F60" i="1"/>
  <c r="G60" i="1" s="1"/>
  <c r="E61" i="1"/>
  <c r="I61" i="1" s="1"/>
  <c r="F61" i="1"/>
  <c r="G61" i="1" s="1"/>
  <c r="E62" i="1"/>
  <c r="I62" i="1" s="1"/>
  <c r="F62" i="1"/>
  <c r="G62" i="1" s="1"/>
  <c r="E63" i="1"/>
  <c r="I63" i="1" s="1"/>
  <c r="F63" i="1"/>
  <c r="G63" i="1" s="1"/>
  <c r="E64" i="1"/>
  <c r="I64" i="1" s="1"/>
  <c r="F64" i="1"/>
  <c r="G64" i="1" s="1"/>
  <c r="E65" i="1"/>
  <c r="I65" i="1" s="1"/>
  <c r="F65" i="1"/>
  <c r="G65" i="1" s="1"/>
  <c r="E66" i="1"/>
  <c r="I66" i="1" s="1"/>
  <c r="F66" i="1"/>
  <c r="G66" i="1"/>
  <c r="E67" i="1"/>
  <c r="I67" i="1" s="1"/>
  <c r="F67" i="1"/>
  <c r="G67" i="1" s="1"/>
  <c r="E68" i="1"/>
  <c r="F68" i="1"/>
  <c r="G68" i="1"/>
  <c r="I68" i="1"/>
  <c r="E69" i="1"/>
  <c r="I69" i="1" s="1"/>
  <c r="F69" i="1"/>
  <c r="G69" i="1" s="1"/>
  <c r="E70" i="1"/>
  <c r="I70" i="1" s="1"/>
  <c r="F70" i="1"/>
  <c r="G70" i="1" s="1"/>
  <c r="E71" i="1"/>
  <c r="I71" i="1" s="1"/>
  <c r="F71" i="1"/>
  <c r="G71" i="1" s="1"/>
  <c r="E72" i="1"/>
  <c r="I72" i="1" s="1"/>
  <c r="F72" i="1"/>
  <c r="G72" i="1" s="1"/>
  <c r="E73" i="1"/>
  <c r="I73" i="1" s="1"/>
  <c r="F73" i="1"/>
  <c r="G73" i="1" s="1"/>
  <c r="E74" i="1"/>
  <c r="I74" i="1" s="1"/>
  <c r="F74" i="1"/>
  <c r="G74" i="1" s="1"/>
  <c r="E75" i="1"/>
  <c r="I75" i="1" s="1"/>
  <c r="F75" i="1"/>
  <c r="G75" i="1" s="1"/>
  <c r="E76" i="1"/>
  <c r="I76" i="1" s="1"/>
  <c r="F76" i="1"/>
  <c r="G76" i="1"/>
  <c r="E77" i="1"/>
  <c r="I77" i="1" s="1"/>
  <c r="F77" i="1"/>
  <c r="G77" i="1"/>
  <c r="E78" i="1"/>
  <c r="I78" i="1" s="1"/>
  <c r="F78" i="1"/>
  <c r="G78" i="1" s="1"/>
  <c r="E79" i="1"/>
  <c r="I79" i="1" s="1"/>
  <c r="F79" i="1"/>
  <c r="G79" i="1" s="1"/>
  <c r="E80" i="1"/>
  <c r="F80" i="1"/>
  <c r="G80" i="1" s="1"/>
  <c r="I80" i="1"/>
  <c r="E81" i="1"/>
  <c r="I81" i="1" s="1"/>
  <c r="F81" i="1"/>
  <c r="G81" i="1"/>
  <c r="E82" i="1"/>
  <c r="I82" i="1" s="1"/>
  <c r="F82" i="1"/>
  <c r="G82" i="1" s="1"/>
  <c r="E83" i="1"/>
  <c r="I83" i="1" s="1"/>
  <c r="F83" i="1"/>
  <c r="G83" i="1" s="1"/>
  <c r="E84" i="1"/>
  <c r="I84" i="1" s="1"/>
  <c r="F84" i="1"/>
  <c r="G84" i="1" s="1"/>
  <c r="E85" i="1"/>
  <c r="I85" i="1" s="1"/>
  <c r="F85" i="1"/>
  <c r="G85" i="1" s="1"/>
  <c r="E86" i="1"/>
  <c r="F86" i="1"/>
  <c r="G86" i="1" s="1"/>
  <c r="E87" i="1"/>
  <c r="F87" i="1"/>
  <c r="G87" i="1" s="1"/>
  <c r="W88" i="2" l="1"/>
  <c r="V88" i="2"/>
  <c r="U88" i="2"/>
  <c r="I88" i="2"/>
  <c r="Q5" i="2"/>
  <c r="G33" i="2"/>
  <c r="O33" i="2" s="1"/>
  <c r="G6" i="2"/>
  <c r="O6" i="2" s="1"/>
  <c r="G11" i="2"/>
  <c r="O11" i="2" s="1"/>
  <c r="G21" i="2"/>
  <c r="O21" i="2" s="1"/>
  <c r="H9" i="2"/>
  <c r="P9" i="2" s="1"/>
  <c r="H14" i="2"/>
  <c r="P14" i="2" s="1"/>
  <c r="H19" i="2"/>
  <c r="P19" i="2" s="1"/>
  <c r="H28" i="2"/>
  <c r="P28" i="2" s="1"/>
  <c r="H38" i="2"/>
  <c r="P38" i="2" s="1"/>
  <c r="G32" i="2"/>
  <c r="O32" i="2" s="1"/>
  <c r="G23" i="2"/>
  <c r="O23" i="2" s="1"/>
  <c r="G22" i="2"/>
  <c r="O22" i="2" s="1"/>
  <c r="H16" i="2"/>
  <c r="P16" i="2" s="1"/>
  <c r="G31" i="2"/>
  <c r="O31" i="2" s="1"/>
  <c r="G5" i="2"/>
  <c r="G10" i="2"/>
  <c r="O10" i="2" s="1"/>
  <c r="G15" i="2"/>
  <c r="O15" i="2" s="1"/>
  <c r="G20" i="2"/>
  <c r="O20" i="2" s="1"/>
  <c r="G30" i="2"/>
  <c r="O30" i="2" s="1"/>
  <c r="G40" i="2"/>
  <c r="O40" i="2" s="1"/>
  <c r="G29" i="2"/>
  <c r="O29" i="2" s="1"/>
  <c r="G39" i="2"/>
  <c r="O39" i="2" s="1"/>
  <c r="H25" i="1"/>
  <c r="H13" i="1"/>
  <c r="H30" i="1"/>
  <c r="H27" i="1"/>
  <c r="H23" i="1"/>
  <c r="H35" i="1"/>
  <c r="H15" i="1"/>
  <c r="H12" i="1"/>
  <c r="H9" i="1"/>
  <c r="G32" i="1"/>
  <c r="G22" i="1"/>
  <c r="H38" i="1"/>
  <c r="H6" i="1"/>
  <c r="H31" i="1"/>
  <c r="H8" i="1"/>
  <c r="H33" i="1"/>
  <c r="H14" i="1"/>
  <c r="H5" i="1"/>
  <c r="I88" i="1"/>
  <c r="H39" i="1"/>
  <c r="H34" i="1"/>
  <c r="H29" i="1"/>
  <c r="H24" i="1"/>
  <c r="G88" i="2" l="1"/>
  <c r="O5" i="2"/>
  <c r="H88" i="2"/>
  <c r="G88" i="1"/>
  <c r="H88" i="1"/>
</calcChain>
</file>

<file path=xl/sharedStrings.xml><?xml version="1.0" encoding="utf-8"?>
<sst xmlns="http://schemas.openxmlformats.org/spreadsheetml/2006/main" count="434" uniqueCount="309">
  <si>
    <t>0.0</t>
  </si>
  <si>
    <t>0.003734246</t>
  </si>
  <si>
    <t>Wwater</t>
  </si>
  <si>
    <t>0.008501</t>
  </si>
  <si>
    <t>Desalination</t>
  </si>
  <si>
    <t>Other personal service activities</t>
  </si>
  <si>
    <t>Repair of computers and personal and household goods</t>
  </si>
  <si>
    <t>Activities of membership organizations</t>
  </si>
  <si>
    <t>Sports activities and amusement and recreation activities</t>
  </si>
  <si>
    <t>Libraries, archives, museums and other cultural activities</t>
  </si>
  <si>
    <t>Creative, arts and entertainment activities</t>
  </si>
  <si>
    <t>Social work activities without accommodation</t>
  </si>
  <si>
    <t>Residential care activities</t>
  </si>
  <si>
    <t>Human health activities</t>
  </si>
  <si>
    <t>Education</t>
  </si>
  <si>
    <t>Public administration and defence; compulsory social security</t>
  </si>
  <si>
    <t>Office administrative, office support and other business support activities</t>
  </si>
  <si>
    <t>Services to buildings and landscape activities</t>
  </si>
  <si>
    <t>Security and investigation activities</t>
  </si>
  <si>
    <t>Travel agency, tour operator, reservation service and related activities</t>
  </si>
  <si>
    <t>Employment activities</t>
  </si>
  <si>
    <t>Rental and leasing activities</t>
  </si>
  <si>
    <t>Veterinary activities</t>
  </si>
  <si>
    <t>Other professional, scientific and technical activities</t>
  </si>
  <si>
    <t>Advertising and market research</t>
  </si>
  <si>
    <t>Scientific research and development</t>
  </si>
  <si>
    <t>Architectural and engineering activities; technical testing and analysis</t>
  </si>
  <si>
    <t>Activities of head offices; management consultancy activities</t>
  </si>
  <si>
    <t>Legal and accounting activities</t>
  </si>
  <si>
    <t>Real estate activities</t>
  </si>
  <si>
    <t>Activities auxiliary to financial service and insurance activities</t>
  </si>
  <si>
    <t>Insurance, reinsurance and pension funding, except compulsory social security</t>
  </si>
  <si>
    <t>Financial service activities, except insurance and pension funding</t>
  </si>
  <si>
    <t>Information service activities</t>
  </si>
  <si>
    <t>Computer programming, consultancy and related activities</t>
  </si>
  <si>
    <t>Telecommunications</t>
  </si>
  <si>
    <t>Programming and broadcasting activities</t>
  </si>
  <si>
    <t>Motion picture, video and television programme production, sound recording and music publishing activities</t>
  </si>
  <si>
    <t>Publishing activities</t>
  </si>
  <si>
    <t>Food and beverage service activities</t>
  </si>
  <si>
    <t>Accommodation</t>
  </si>
  <si>
    <t>Postal and courier activities</t>
  </si>
  <si>
    <t>Warehousing and support activities for transportation</t>
  </si>
  <si>
    <t>Air transport</t>
  </si>
  <si>
    <t>Water transport</t>
  </si>
  <si>
    <t>Land transport and transport via pipelines</t>
  </si>
  <si>
    <t>Retail trade, except of motor vehicles and motorcycles</t>
  </si>
  <si>
    <t>Wholesale trade, except of motor vehicles and motorcycles</t>
  </si>
  <si>
    <t>Wholesale and retail trade and repair of motor vehicles and motorcycles</t>
  </si>
  <si>
    <t>Specialized construction activities</t>
  </si>
  <si>
    <t>Civil engineering</t>
  </si>
  <si>
    <t>Construction of buildings</t>
  </si>
  <si>
    <t>Remediation activities and other waste management services</t>
  </si>
  <si>
    <t>Waste collection, treatment and disposal activities; materials recovery</t>
  </si>
  <si>
    <t>Sewerage</t>
  </si>
  <si>
    <t>Water collection, treatment and supply</t>
  </si>
  <si>
    <t>Electricity, gas, steam and air conditioning supply</t>
  </si>
  <si>
    <t>Repair and installation of machinery and equipment</t>
  </si>
  <si>
    <t>Other manufacturing</t>
  </si>
  <si>
    <t>Manufacture of furniture</t>
  </si>
  <si>
    <t>Manufacture of other transport equipment</t>
  </si>
  <si>
    <t>Manufacture of motor vehicles, trailers and semi-trailers</t>
  </si>
  <si>
    <t>Manufacture of machinery and equipment n.e.c.</t>
  </si>
  <si>
    <t>Manufacture of electrical equipment</t>
  </si>
  <si>
    <t>Manufacture of computer, electronic and optical products</t>
  </si>
  <si>
    <t>Manufacture of fabricated metal products, except machinery and equipment</t>
  </si>
  <si>
    <t>Manufacture of basic metals</t>
  </si>
  <si>
    <t>0.187375</t>
  </si>
  <si>
    <t>Manufacture of other non-metallic mineral products</t>
  </si>
  <si>
    <t>Manufacture of rubber and plastics products</t>
  </si>
  <si>
    <t>Manufacture of basic pharmaceutical products and pharmaceutical preparations</t>
  </si>
  <si>
    <t>Manufacture of chemicals and chemical products</t>
  </si>
  <si>
    <t>Manufacture of coke and refined petroleum products</t>
  </si>
  <si>
    <t>Printing and reproduction of recorded media</t>
  </si>
  <si>
    <t>Manufacture of paper and paper products</t>
  </si>
  <si>
    <t>Manufacture of woods, wood products and cork except furniture</t>
  </si>
  <si>
    <t>Manufacture of leather and related products</t>
  </si>
  <si>
    <t>Manufacture of wearing apparel</t>
  </si>
  <si>
    <t>Manufacture of textiles</t>
  </si>
  <si>
    <t>Manufacture of tobacco products</t>
  </si>
  <si>
    <t>Manufacture of beverages</t>
  </si>
  <si>
    <t>Manufacture of food products</t>
  </si>
  <si>
    <t>Mining support service activities</t>
  </si>
  <si>
    <t>Other mining and quarrying activities</t>
  </si>
  <si>
    <t>Mining of metal ores</t>
  </si>
  <si>
    <t>Extraction of crude petroleum and natural gas</t>
  </si>
  <si>
    <t>Mining of coal and lignite</t>
  </si>
  <si>
    <t>Fishing and aquaculture</t>
  </si>
  <si>
    <t>Forestry and logging</t>
  </si>
  <si>
    <t>Crop and animal production, hunting and related service activities</t>
  </si>
  <si>
    <t>Share of sector in aggregate energy use sector: Electricity, gas, steam and air conditioning supply</t>
  </si>
  <si>
    <t>Share of sector in aggregate energy use sector: Manufacture of coke and refined petroleum products</t>
  </si>
  <si>
    <t>KEN model sectors</t>
  </si>
  <si>
    <t>Total Electricity use EJ from GCAM</t>
  </si>
  <si>
    <t>Total Gas use in EJ From GCAM</t>
  </si>
  <si>
    <t>Total Oil use in EJ from GCAM</t>
  </si>
  <si>
    <t>Total energy use in EJ from GCAM</t>
  </si>
  <si>
    <t xml:space="preserve">Gas use in EJ for KEN </t>
  </si>
  <si>
    <t>Eelectricity use in E J for KEN</t>
  </si>
  <si>
    <t>Oil use in EJ for KEN</t>
  </si>
  <si>
    <t>Total</t>
  </si>
  <si>
    <t>Total ouput in Thousdand SAR</t>
  </si>
  <si>
    <t>gas_intentsities (GJ/Thousand SAR)</t>
  </si>
  <si>
    <t>electricity_intentsities (GJ/Thousand SAR)</t>
  </si>
  <si>
    <t>oil_intentsities (GJ/Thousand SAR)</t>
  </si>
  <si>
    <t>0.0000530401208990226</t>
  </si>
  <si>
    <t>0.0000603497984251862</t>
  </si>
  <si>
    <t>0.656045650796544</t>
  </si>
  <si>
    <t>0.104979752078008</t>
  </si>
  <si>
    <t>4.39942496458321</t>
  </si>
  <si>
    <t>0.443087204527287</t>
  </si>
  <si>
    <t>0.359990106043217</t>
  </si>
  <si>
    <t>0.000537115492787904</t>
  </si>
  <si>
    <t>0.0564234199706117</t>
  </si>
  <si>
    <t>0.0710709856338235</t>
  </si>
  <si>
    <t>0.03034335503542</t>
  </si>
  <si>
    <t>0.036052514335784</t>
  </si>
  <si>
    <t>0.0202111173687933</t>
  </si>
  <si>
    <t>0.512378489883887</t>
  </si>
  <si>
    <t>0.236331768215393</t>
  </si>
  <si>
    <t>1.75024240779248</t>
  </si>
  <si>
    <t>0.701539697516979</t>
  </si>
  <si>
    <t>1.73086436724412</t>
  </si>
  <si>
    <t>0.127124004992451</t>
  </si>
  <si>
    <t>0.0940903140134149</t>
  </si>
  <si>
    <t>1.61590281811442</t>
  </si>
  <si>
    <t>0.552276171309021</t>
  </si>
  <si>
    <t>0.37705195602318</t>
  </si>
  <si>
    <t>0.12973686555827</t>
  </si>
  <si>
    <t>0.470995196989026</t>
  </si>
  <si>
    <t>0.656906483836807</t>
  </si>
  <si>
    <t>0.138288781917269</t>
  </si>
  <si>
    <t>0.196680015351194</t>
  </si>
  <si>
    <t>0.0630439087755472</t>
  </si>
  <si>
    <t>0.121857275264582</t>
  </si>
  <si>
    <t>0.0000861341764349355</t>
  </si>
  <si>
    <t>0.0000192888023607997</t>
  </si>
  <si>
    <t>0.00000410063663958293</t>
  </si>
  <si>
    <t>0.00000160873403624734E-06</t>
  </si>
  <si>
    <t>0.0000995108858479133</t>
  </si>
  <si>
    <t>0.0000484111021431461</t>
  </si>
  <si>
    <t>0.0000242151626430972</t>
  </si>
  <si>
    <t>0.00000165775329659395</t>
  </si>
  <si>
    <t>0.000003648347648402310</t>
  </si>
  <si>
    <t>0.0000125730108182482</t>
  </si>
  <si>
    <t>0.0000366511387238158</t>
  </si>
  <si>
    <t>0.00000856061825785576</t>
  </si>
  <si>
    <t>0.000001579277936992030</t>
  </si>
  <si>
    <t>0.00000893485181760524</t>
  </si>
  <si>
    <t>0.0000004803078885063690</t>
  </si>
  <si>
    <t>0.0000001232623602209440</t>
  </si>
  <si>
    <t>0.0000009857646586097950</t>
  </si>
  <si>
    <t>0.0000239758479043002</t>
  </si>
  <si>
    <t>0.0001233285924686</t>
  </si>
  <si>
    <t>0.0000212659867829558</t>
  </si>
  <si>
    <t>0.00000290750095271857</t>
  </si>
  <si>
    <t>0.000111335618950191</t>
  </si>
  <si>
    <t>0.0000184828997133132</t>
  </si>
  <si>
    <t>0.0000311553705195805</t>
  </si>
  <si>
    <t>0.0000694292992915482</t>
  </si>
  <si>
    <t>0.000164404097149251</t>
  </si>
  <si>
    <t>0.0000907093813437774</t>
  </si>
  <si>
    <t>0.0000204762672689195</t>
  </si>
  <si>
    <t>0.000204221518256259</t>
  </si>
  <si>
    <t>0.0000118688919553481</t>
  </si>
  <si>
    <t>0.000014852762060475</t>
  </si>
  <si>
    <t>0.000151240823386049</t>
  </si>
  <si>
    <t>0.0000947885699634302</t>
  </si>
  <si>
    <t>0.0000677257176694212</t>
  </si>
  <si>
    <t>0.0000462067835621872</t>
  </si>
  <si>
    <t>0.00003404852081046</t>
  </si>
  <si>
    <t>0.000115967313676679</t>
  </si>
  <si>
    <t>0.0000192401106351694</t>
  </si>
  <si>
    <t>0.0000961445509270225</t>
  </si>
  <si>
    <t>0.000571432234063973</t>
  </si>
  <si>
    <t>0.0000886207393976915</t>
  </si>
  <si>
    <t>0.000113662908513145</t>
  </si>
  <si>
    <t>0.454835425906584</t>
  </si>
  <si>
    <t>2.47743554434156</t>
  </si>
  <si>
    <t>0.114502178995834</t>
  </si>
  <si>
    <t>0.00543107570540738</t>
  </si>
  <si>
    <t>0.000869075163257778</t>
  </si>
  <si>
    <t>0.0364206515413979</t>
  </si>
  <si>
    <t>0.00366809862844638</t>
  </si>
  <si>
    <t>0.00298017907251499</t>
  </si>
  <si>
    <t>0.0000869846210219566</t>
  </si>
  <si>
    <t>0.00913764333520055</t>
  </si>
  <si>
    <t>0.0115097829685137</t>
  </si>
  <si>
    <t>0.00491403668993204</t>
  </si>
  <si>
    <t>0.00583862193233212</t>
  </si>
  <si>
    <t>0.00327314406000385</t>
  </si>
  <si>
    <t>0.0829785201894217</t>
  </si>
  <si>
    <t>0.0382733873248793</t>
  </si>
  <si>
    <t>0.283447739978902</t>
  </si>
  <si>
    <t>0.11361274351561</t>
  </si>
  <si>
    <t>0.280309510797506</t>
  </si>
  <si>
    <t>0.0205874407749175</t>
  </si>
  <si>
    <t>0.015237710355016</t>
  </si>
  <si>
    <t>0.261691751828686</t>
  </si>
  <si>
    <t>0.0894398581046743</t>
  </si>
  <si>
    <t>0.061062698694515</t>
  </si>
  <si>
    <t>0.0210105875453102</t>
  </si>
  <si>
    <t>0.0762765909071071</t>
  </si>
  <si>
    <t>0.10638449702283</t>
  </si>
  <si>
    <t>0.0223955507673498</t>
  </si>
  <si>
    <t>0.0318518769755015</t>
  </si>
  <si>
    <t>0.0102098162987625</t>
  </si>
  <si>
    <t>0.0197345059861148</t>
  </si>
  <si>
    <t>1.0114405304508</t>
  </si>
  <si>
    <t>10.3471408717622</t>
  </si>
  <si>
    <t>0.168842817048639</t>
  </si>
  <si>
    <t>0.000651874793885345</t>
  </si>
  <si>
    <t>0.00375056226512555</t>
  </si>
  <si>
    <t>0.00495231491206836</t>
  </si>
  <si>
    <t>0.000378650901374572</t>
  </si>
  <si>
    <t>0.000583648640868732</t>
  </si>
  <si>
    <t>0.00162847640496434</t>
  </si>
  <si>
    <t>2.29175888787824</t>
  </si>
  <si>
    <t>1.83522224925237</t>
  </si>
  <si>
    <t>0.0268882733639801</t>
  </si>
  <si>
    <t>0.0656307636178497</t>
  </si>
  <si>
    <t>0.0339556027666489</t>
  </si>
  <si>
    <t>0.300082785896919</t>
  </si>
  <si>
    <t>0.308664191322357</t>
  </si>
  <si>
    <t>0.0296710567813668</t>
  </si>
  <si>
    <t>0.0859023521735696</t>
  </si>
  <si>
    <t>0.129453912960481</t>
  </si>
  <si>
    <t>0.17710810482645</t>
  </si>
  <si>
    <t>0.134163727298801</t>
  </si>
  <si>
    <t>0.492208837748833</t>
  </si>
  <si>
    <t>0.280357902233579</t>
  </si>
  <si>
    <t>0.0607103345455249</t>
  </si>
  <si>
    <t>0.138776121401133</t>
  </si>
  <si>
    <t>2.48596158503713</t>
  </si>
  <si>
    <t>1.8866910061326</t>
  </si>
  <si>
    <t>0.223140389518726</t>
  </si>
  <si>
    <t>0.963380571738916</t>
  </si>
  <si>
    <t>0.884137527603215</t>
  </si>
  <si>
    <t>1.27914834359297</t>
  </si>
  <si>
    <t>0.33189272439763</t>
  </si>
  <si>
    <t>0.413860737392403</t>
  </si>
  <si>
    <t>0.228903225396945</t>
  </si>
  <si>
    <t>0.20421673384949</t>
  </si>
  <si>
    <t>0.182379926749334</t>
  </si>
  <si>
    <t>0.174167347863925</t>
  </si>
  <si>
    <t>0.130965000809357</t>
  </si>
  <si>
    <t>0.225430646840201</t>
  </si>
  <si>
    <t>0.0854944369470469</t>
  </si>
  <si>
    <t>0.363501229273361</t>
  </si>
  <si>
    <t>1.54992348840783</t>
  </si>
  <si>
    <t>1.18167634210618</t>
  </si>
  <si>
    <t>0.111582873323655</t>
  </si>
  <si>
    <t>0.210617737157719</t>
  </si>
  <si>
    <t>0.203126455785451</t>
  </si>
  <si>
    <t>1.20733893167363</t>
  </si>
  <si>
    <t>0.149283793316031</t>
  </si>
  <si>
    <t>3.32290964953716</t>
  </si>
  <si>
    <t>1.2360986747591</t>
  </si>
  <si>
    <t>1.12729507564628</t>
  </si>
  <si>
    <t>6.54988075244468</t>
  </si>
  <si>
    <t>7.10335035508492</t>
  </si>
  <si>
    <t>7.8520168182412</t>
  </si>
  <si>
    <t>2.90315876912187</t>
  </si>
  <si>
    <t>1.5404383935459</t>
  </si>
  <si>
    <t>0.498266904265266</t>
  </si>
  <si>
    <t>0.119850181891019</t>
  </si>
  <si>
    <t>1.01622398211901</t>
  </si>
  <si>
    <t>0.293536083812549</t>
  </si>
  <si>
    <t>0.183890043884059</t>
  </si>
  <si>
    <t>1.1411841606963</t>
  </si>
  <si>
    <t>0.291479968570191</t>
  </si>
  <si>
    <t>1.48997287568461</t>
  </si>
  <si>
    <t>0.058098271307925</t>
  </si>
  <si>
    <t>0.0386837883833147</t>
  </si>
  <si>
    <t>0.15370269544478</t>
  </si>
  <si>
    <t>0.0359928237937302</t>
  </si>
  <si>
    <t>1.32775932718109</t>
  </si>
  <si>
    <t>2.32098448336627</t>
  </si>
  <si>
    <t>0.170141871847614</t>
  </si>
  <si>
    <t>0.36279756843433</t>
  </si>
  <si>
    <t>2.20407232237211</t>
  </si>
  <si>
    <t>1.35721568194829</t>
  </si>
  <si>
    <t>1.76975118836369</t>
  </si>
  <si>
    <t>4.85680843733056</t>
  </si>
  <si>
    <t>1.40664655534049</t>
  </si>
  <si>
    <t>5.08289596300373</t>
  </si>
  <si>
    <t>5.11220833921475</t>
  </si>
  <si>
    <t>2.12122178633397</t>
  </si>
  <si>
    <t>0.80428348620138</t>
  </si>
  <si>
    <t>0.243574941505881</t>
  </si>
  <si>
    <t>0.09814288600682</t>
  </si>
  <si>
    <t>0.204974613100577</t>
  </si>
  <si>
    <t>0.647953524981376</t>
  </si>
  <si>
    <t>0.601111039677324</t>
  </si>
  <si>
    <t>0.793819200362867</t>
  </si>
  <si>
    <t>0.037624407821614</t>
  </si>
  <si>
    <t>0.0807458680222308</t>
  </si>
  <si>
    <t>0.0886210259030455</t>
  </si>
  <si>
    <t>0.540566017667261</t>
  </si>
  <si>
    <t>1.63855455209891</t>
  </si>
  <si>
    <t>Electrcity emission factor (average of gas and crude oil)</t>
  </si>
  <si>
    <t>Total Gas emissions (MtCO2)</t>
  </si>
  <si>
    <t>Total Electricity emissions (MtCO2)</t>
  </si>
  <si>
    <t>Total Oil emissions (MtCO2)</t>
  </si>
  <si>
    <t>gas_Emission_intentsities (MtCO2/Thousand SAR)</t>
  </si>
  <si>
    <t>electricity_Emission_intentsities (MtCO2/Thousand SAR)</t>
  </si>
  <si>
    <t>oil_Emission_intentsities (MtCO2/Thousand SAR)</t>
  </si>
  <si>
    <t>Gas emission factor (56.1MtCO2/EJ) 0.0000000561 MtCO2/GJ</t>
  </si>
  <si>
    <t>Oil (curde) emission factor (66.3MtCO2/EJ) 0.0000000663 MtCO2/GJ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</si>
</sst>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rial Unicode MS"/>
      <family val="2"/>
    </font>
    <font>
      <sz val="14"/>
      <color theme="1"/>
      <name val="Menlo"/>
      <family val="2"/>
    </font>
    <font>
      <sz val="10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0"/>
      <color theme="0"/>
      <name val="Aptos Narrow"/>
      <scheme val="minor"/>
    </font>
    <font>
      <sz val="10"/>
      <color rgb="FFFF0000"/>
      <name val="Aptos Narrow"/>
      <scheme val="minor"/>
    </font>
    <font>
      <sz val="8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11" fontId="0" fillId="3" borderId="0" xfId="2" applyNumberFormat="1" applyFont="1" applyFill="1"/>
    <xf numFmtId="2" fontId="0" fillId="2" borderId="0" xfId="2" applyNumberFormat="1" applyFont="1" applyFill="1"/>
    <xf numFmtId="0" fontId="0" fillId="2" borderId="1" xfId="0" applyFill="1" applyBorder="1"/>
    <xf numFmtId="0" fontId="0" fillId="4" borderId="0" xfId="0" applyFill="1"/>
    <xf numFmtId="3" fontId="0" fillId="4" borderId="0" xfId="0" applyNumberFormat="1" applyFill="1"/>
    <xf numFmtId="2" fontId="0" fillId="4" borderId="0" xfId="2" applyNumberFormat="1" applyFont="1" applyFill="1"/>
    <xf numFmtId="0" fontId="2" fillId="4" borderId="0" xfId="0" applyFont="1" applyFill="1"/>
    <xf numFmtId="3" fontId="2" fillId="4" borderId="0" xfId="0" applyNumberFormat="1" applyFont="1" applyFill="1"/>
    <xf numFmtId="2" fontId="0" fillId="4" borderId="0" xfId="0" applyNumberFormat="1" applyFill="1"/>
    <xf numFmtId="0" fontId="0" fillId="5" borderId="0" xfId="0" applyFill="1"/>
    <xf numFmtId="2" fontId="0" fillId="5" borderId="0" xfId="0" applyNumberFormat="1" applyFill="1"/>
    <xf numFmtId="3" fontId="0" fillId="5" borderId="0" xfId="0" applyNumberFormat="1" applyFill="1"/>
    <xf numFmtId="2" fontId="0" fillId="5" borderId="0" xfId="2" applyNumberFormat="1" applyFont="1" applyFill="1"/>
    <xf numFmtId="3" fontId="2" fillId="5" borderId="0" xfId="0" applyNumberFormat="1" applyFont="1" applyFill="1"/>
    <xf numFmtId="0" fontId="2" fillId="5" borderId="0" xfId="0" applyFont="1" applyFill="1"/>
    <xf numFmtId="0" fontId="0" fillId="6" borderId="0" xfId="0" applyFill="1"/>
    <xf numFmtId="2" fontId="0" fillId="6" borderId="0" xfId="0" applyNumberFormat="1" applyFill="1"/>
    <xf numFmtId="3" fontId="0" fillId="6" borderId="0" xfId="0" applyNumberFormat="1" applyFill="1"/>
    <xf numFmtId="2" fontId="0" fillId="6" borderId="0" xfId="2" applyNumberFormat="1" applyFont="1" applyFill="1"/>
    <xf numFmtId="3" fontId="2" fillId="6" borderId="0" xfId="0" applyNumberFormat="1" applyFont="1" applyFill="1"/>
    <xf numFmtId="0" fontId="1" fillId="6" borderId="0" xfId="0" applyFont="1" applyFill="1"/>
    <xf numFmtId="0" fontId="2" fillId="6" borderId="0" xfId="0" applyFont="1" applyFill="1"/>
    <xf numFmtId="0" fontId="0" fillId="7" borderId="0" xfId="0" applyFill="1"/>
    <xf numFmtId="2" fontId="0" fillId="7" borderId="0" xfId="0" applyNumberFormat="1" applyFill="1"/>
    <xf numFmtId="11" fontId="0" fillId="7" borderId="0" xfId="0" applyNumberFormat="1" applyFill="1"/>
    <xf numFmtId="11" fontId="0" fillId="7" borderId="0" xfId="2" applyNumberFormat="1" applyFont="1" applyFill="1"/>
    <xf numFmtId="0" fontId="0" fillId="7" borderId="0" xfId="2" applyNumberFormat="1" applyFont="1" applyFill="1"/>
    <xf numFmtId="3" fontId="0" fillId="7" borderId="0" xfId="0" applyNumberFormat="1" applyFill="1"/>
    <xf numFmtId="0" fontId="2" fillId="7" borderId="0" xfId="0" applyFont="1" applyFill="1"/>
    <xf numFmtId="3" fontId="2" fillId="7" borderId="0" xfId="0" applyNumberFormat="1" applyFont="1" applyFill="1"/>
    <xf numFmtId="0" fontId="0" fillId="3" borderId="0" xfId="0" applyFill="1"/>
    <xf numFmtId="2" fontId="0" fillId="3" borderId="0" xfId="2" applyNumberFormat="1" applyFont="1" applyFill="1"/>
    <xf numFmtId="0" fontId="0" fillId="3" borderId="0" xfId="2" applyNumberFormat="1" applyFont="1" applyFill="1"/>
    <xf numFmtId="3" fontId="0" fillId="3" borderId="0" xfId="0" applyNumberFormat="1" applyFill="1"/>
    <xf numFmtId="3" fontId="2" fillId="3" borderId="0" xfId="0" applyNumberFormat="1" applyFont="1" applyFill="1"/>
    <xf numFmtId="0" fontId="2" fillId="3" borderId="0" xfId="0" applyFont="1" applyFill="1"/>
    <xf numFmtId="0" fontId="0" fillId="8" borderId="0" xfId="0" applyFill="1"/>
    <xf numFmtId="3" fontId="0" fillId="8" borderId="0" xfId="0" applyNumberFormat="1" applyFill="1"/>
    <xf numFmtId="0" fontId="2" fillId="8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5" fillId="0" borderId="2" xfId="0" applyFont="1" applyBorder="1" applyAlignment="1">
      <alignment horizontal="center" vertical="top" wrapText="1"/>
    </xf>
    <xf numFmtId="0" fontId="6" fillId="9" borderId="0" xfId="0" applyFont="1" applyFill="1"/>
    <xf numFmtId="11" fontId="6" fillId="9" borderId="0" xfId="0" applyNumberFormat="1" applyFont="1" applyFill="1"/>
    <xf numFmtId="0" fontId="1" fillId="8" borderId="0" xfId="0" applyFont="1" applyFill="1"/>
    <xf numFmtId="2" fontId="1" fillId="3" borderId="0" xfId="0" applyNumberFormat="1" applyFont="1" applyFill="1"/>
    <xf numFmtId="11" fontId="1" fillId="7" borderId="0" xfId="0" applyNumberFormat="1" applyFont="1" applyFill="1"/>
    <xf numFmtId="0" fontId="1" fillId="7" borderId="0" xfId="0" applyFont="1" applyFill="1"/>
    <xf numFmtId="0" fontId="1" fillId="5" borderId="0" xfId="0" applyFont="1" applyFill="1"/>
    <xf numFmtId="11" fontId="1" fillId="4" borderId="0" xfId="0" applyNumberFormat="1" applyFont="1" applyFill="1"/>
    <xf numFmtId="0" fontId="1" fillId="4" borderId="0" xfId="0" applyFont="1" applyFill="1"/>
    <xf numFmtId="0" fontId="1" fillId="2" borderId="0" xfId="0" applyFont="1" applyFill="1"/>
    <xf numFmtId="0" fontId="4" fillId="8" borderId="0" xfId="0" applyFont="1" applyFill="1"/>
    <xf numFmtId="2" fontId="1" fillId="4" borderId="0" xfId="1" applyNumberFormat="1" applyFont="1" applyFill="1" applyBorder="1"/>
    <xf numFmtId="3" fontId="1" fillId="7" borderId="0" xfId="0" applyNumberFormat="1" applyFont="1" applyFill="1"/>
    <xf numFmtId="11" fontId="0" fillId="8" borderId="0" xfId="0" applyNumberFormat="1" applyFill="1"/>
    <xf numFmtId="11" fontId="0" fillId="3" borderId="0" xfId="0" applyNumberFormat="1" applyFill="1"/>
    <xf numFmtId="11" fontId="0" fillId="6" borderId="0" xfId="0" applyNumberFormat="1" applyFill="1"/>
    <xf numFmtId="11" fontId="0" fillId="5" borderId="0" xfId="0" applyNumberFormat="1" applyFill="1"/>
    <xf numFmtId="11" fontId="0" fillId="4" borderId="0" xfId="0" applyNumberFormat="1" applyFill="1"/>
    <xf numFmtId="0" fontId="0" fillId="10" borderId="0" xfId="0" applyFill="1"/>
    <xf numFmtId="0" fontId="3" fillId="10" borderId="0" xfId="0" applyFont="1" applyFill="1"/>
    <xf numFmtId="11" fontId="3" fillId="10" borderId="0" xfId="0" applyNumberFormat="1" applyFont="1" applyFill="1"/>
    <xf numFmtId="0" fontId="7" fillId="10" borderId="0" xfId="0" applyFont="1" applyFill="1" applyAlignment="1">
      <alignment wrapText="1"/>
    </xf>
    <xf numFmtId="11" fontId="0" fillId="2" borderId="0" xfId="0" applyNumberFormat="1" applyFill="1"/>
    <xf numFmtId="11" fontId="0" fillId="0" borderId="0" xfId="0" applyNumberFormat="1"/>
    <xf numFmtId="0" fontId="1" fillId="10" borderId="0" xfId="0" applyFont="1" applyFill="1" applyAlignment="1">
      <alignment wrapText="1"/>
    </xf>
    <xf numFmtId="0" fontId="1" fillId="10" borderId="0" xfId="0" applyFont="1" applyFill="1"/>
    <xf numFmtId="0" fontId="4" fillId="10" borderId="0" xfId="0" applyFont="1" applyFill="1"/>
    <xf numFmtId="2" fontId="1" fillId="10" borderId="0" xfId="0" applyNumberFormat="1" applyFont="1" applyFill="1"/>
    <xf numFmtId="11" fontId="1" fillId="10" borderId="0" xfId="0" applyNumberFormat="1" applyFont="1" applyFill="1"/>
    <xf numFmtId="3" fontId="1" fillId="10" borderId="0" xfId="0" applyNumberFormat="1" applyFont="1" applyFill="1"/>
    <xf numFmtId="2" fontId="1" fillId="10" borderId="0" xfId="1" applyNumberFormat="1" applyFont="1" applyFill="1" applyBorder="1"/>
    <xf numFmtId="11" fontId="7" fillId="10" borderId="0" xfId="0" applyNumberFormat="1" applyFont="1" applyFill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90B3-828B-1148-82B6-DC93EC7527EA}">
  <dimension ref="A1:CU114"/>
  <sheetViews>
    <sheetView zoomScale="215" zoomScaleNormal="215" workbookViewId="0">
      <pane xSplit="1" topLeftCell="P1" activePane="topRight" state="frozen"/>
      <selection pane="topRight" sqref="A1:XFD1048576"/>
    </sheetView>
  </sheetViews>
  <sheetFormatPr baseColWidth="10" defaultRowHeight="14" x14ac:dyDescent="0.2"/>
  <cols>
    <col min="1" max="1" width="23.19921875" customWidth="1"/>
    <col min="2" max="2" width="46.3984375" customWidth="1"/>
    <col min="3" max="3" width="51.19921875" bestFit="1" customWidth="1"/>
    <col min="4" max="4" width="47.796875" bestFit="1" customWidth="1"/>
    <col min="5" max="7" width="47.796875" customWidth="1"/>
    <col min="8" max="8" width="25.19921875" customWidth="1"/>
    <col min="9" max="9" width="14.3984375" customWidth="1"/>
    <col min="11" max="11" width="13.59765625" bestFit="1" customWidth="1"/>
    <col min="12" max="12" width="20.796875" bestFit="1" customWidth="1"/>
    <col min="14" max="14" width="13.796875" bestFit="1" customWidth="1"/>
    <col min="15" max="15" width="20.796875" style="64" bestFit="1" customWidth="1"/>
    <col min="16" max="16" width="20.59765625" style="64" customWidth="1"/>
    <col min="17" max="17" width="15.3984375" style="64" bestFit="1" customWidth="1"/>
    <col min="18" max="18" width="20.19921875" bestFit="1" customWidth="1"/>
    <col min="20" max="20" width="20.19921875" bestFit="1" customWidth="1"/>
    <col min="22" max="22" width="20.19921875" bestFit="1" customWidth="1"/>
    <col min="24" max="25" width="20.19921875" bestFit="1" customWidth="1"/>
    <col min="27" max="27" width="20.19921875" bestFit="1" customWidth="1"/>
    <col min="28" max="28" width="19.19921875" bestFit="1" customWidth="1"/>
    <col min="31" max="31" width="20.19921875" bestFit="1" customWidth="1"/>
    <col min="33" max="33" width="20.19921875" bestFit="1" customWidth="1"/>
    <col min="34" max="34" width="19.19921875" bestFit="1" customWidth="1"/>
    <col min="36" max="39" width="20.19921875" bestFit="1" customWidth="1"/>
    <col min="41" max="42" width="20.19921875" bestFit="1" customWidth="1"/>
    <col min="45" max="45" width="20.19921875" bestFit="1" customWidth="1"/>
    <col min="48" max="49" width="20.19921875" bestFit="1" customWidth="1"/>
    <col min="53" max="59" width="20.19921875" bestFit="1" customWidth="1"/>
    <col min="61" max="62" width="20.19921875" bestFit="1" customWidth="1"/>
    <col min="64" max="64" width="20.19921875" bestFit="1" customWidth="1"/>
    <col min="69" max="73" width="20.19921875" bestFit="1" customWidth="1"/>
    <col min="75" max="75" width="20.19921875" bestFit="1" customWidth="1"/>
    <col min="83" max="84" width="20.19921875" bestFit="1" customWidth="1"/>
    <col min="87" max="87" width="20.19921875" bestFit="1" customWidth="1"/>
    <col min="89" max="91" width="20.19921875" bestFit="1" customWidth="1"/>
    <col min="96" max="99" width="20.19921875" bestFit="1" customWidth="1"/>
  </cols>
  <sheetData>
    <row r="1" spans="1:99" s="42" customFormat="1" ht="42" customHeight="1" x14ac:dyDescent="0.2">
      <c r="A1" s="45" t="s">
        <v>92</v>
      </c>
      <c r="B1" s="44" t="s">
        <v>85</v>
      </c>
      <c r="C1" s="43" t="s">
        <v>72</v>
      </c>
      <c r="D1" s="42" t="s">
        <v>56</v>
      </c>
      <c r="E1" s="42" t="s">
        <v>91</v>
      </c>
      <c r="F1" s="43" t="s">
        <v>90</v>
      </c>
      <c r="G1" s="43" t="s">
        <v>97</v>
      </c>
      <c r="H1" s="43" t="s">
        <v>98</v>
      </c>
      <c r="I1" s="43" t="s">
        <v>99</v>
      </c>
      <c r="J1" s="43" t="s">
        <v>94</v>
      </c>
      <c r="K1" s="43" t="s">
        <v>93</v>
      </c>
      <c r="L1" s="43" t="s">
        <v>95</v>
      </c>
      <c r="M1" s="43" t="s">
        <v>96</v>
      </c>
      <c r="N1" s="42" t="s">
        <v>101</v>
      </c>
      <c r="O1" s="67" t="s">
        <v>102</v>
      </c>
      <c r="P1" s="67" t="s">
        <v>103</v>
      </c>
      <c r="Q1" s="67" t="s">
        <v>104</v>
      </c>
      <c r="R1"/>
      <c r="S1"/>
      <c r="T1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</row>
    <row r="2" spans="1:99" s="39" customFormat="1" ht="19" x14ac:dyDescent="0.25">
      <c r="A2" s="39" t="s">
        <v>89</v>
      </c>
      <c r="B2" s="41">
        <v>0</v>
      </c>
      <c r="C2" s="40">
        <v>4854572</v>
      </c>
      <c r="D2" s="40">
        <v>41269</v>
      </c>
      <c r="E2" s="39">
        <f>(C2+B2)/SUM(B$2:C$4)</f>
        <v>0.92291576600777414</v>
      </c>
      <c r="F2" s="39">
        <f>D2/SUM(D$2:D$4)</f>
        <v>0.97021346624036109</v>
      </c>
      <c r="G2" s="40">
        <v>0</v>
      </c>
      <c r="H2" s="40">
        <f>F2*K$2</f>
        <v>6.239855142114905E-2</v>
      </c>
      <c r="I2" s="40">
        <v>0</v>
      </c>
      <c r="J2" s="48" t="s">
        <v>0</v>
      </c>
      <c r="K2" s="56">
        <v>6.4314249999999906E-2</v>
      </c>
      <c r="L2" s="48" t="s">
        <v>0</v>
      </c>
      <c r="N2" s="59">
        <v>137189295</v>
      </c>
      <c r="O2" s="65">
        <v>0</v>
      </c>
      <c r="P2" s="66">
        <f>(H2/N2)*10^9</f>
        <v>0.45483542590658443</v>
      </c>
      <c r="Q2" s="65">
        <v>0</v>
      </c>
      <c r="R2" t="s">
        <v>299</v>
      </c>
      <c r="S2" t="s">
        <v>177</v>
      </c>
      <c r="T2">
        <v>0</v>
      </c>
    </row>
    <row r="3" spans="1:99" s="39" customFormat="1" ht="19" x14ac:dyDescent="0.25">
      <c r="A3" s="39" t="s">
        <v>88</v>
      </c>
      <c r="B3" s="41">
        <v>0</v>
      </c>
      <c r="C3" s="40">
        <v>22412</v>
      </c>
      <c r="D3" s="39">
        <v>339</v>
      </c>
      <c r="E3" s="39">
        <f>(C3+B3)/SUM(B$2:C$4)</f>
        <v>4.2608057204149476E-3</v>
      </c>
      <c r="F3" s="39">
        <f>D3/SUM(D$2:D$4)</f>
        <v>7.9697197667857808E-3</v>
      </c>
      <c r="G3" s="40">
        <v>0</v>
      </c>
      <c r="H3" s="40">
        <f>F3*K$2</f>
        <v>5.125665495110017E-4</v>
      </c>
      <c r="I3" s="40">
        <v>0</v>
      </c>
      <c r="K3" s="56"/>
      <c r="N3" s="59">
        <v>206894</v>
      </c>
      <c r="O3" s="65">
        <v>0</v>
      </c>
      <c r="P3" s="66">
        <f>(H3/N3)*10^9</f>
        <v>2.4774355443415552</v>
      </c>
      <c r="Q3" s="65">
        <v>0</v>
      </c>
      <c r="R3">
        <v>0</v>
      </c>
      <c r="S3" t="s">
        <v>178</v>
      </c>
      <c r="T3">
        <v>0</v>
      </c>
    </row>
    <row r="4" spans="1:99" s="39" customFormat="1" ht="19" x14ac:dyDescent="0.25">
      <c r="A4" s="39" t="s">
        <v>87</v>
      </c>
      <c r="B4" s="41">
        <v>0</v>
      </c>
      <c r="C4" s="40">
        <v>383054</v>
      </c>
      <c r="D4" s="39">
        <v>928</v>
      </c>
      <c r="E4" s="39">
        <f>(C4+B4)/SUM(B$2:C$4)</f>
        <v>7.2823428271810958E-2</v>
      </c>
      <c r="F4" s="39">
        <f>D4/SUM(D$2:D$4)</f>
        <v>2.1816813992853113E-2</v>
      </c>
      <c r="G4" s="40">
        <v>0</v>
      </c>
      <c r="H4" s="40">
        <f>F4*K$2</f>
        <v>1.4031320293398514E-3</v>
      </c>
      <c r="I4" s="40">
        <v>0</v>
      </c>
      <c r="N4" s="59">
        <v>12254195</v>
      </c>
      <c r="O4" s="65">
        <v>0</v>
      </c>
      <c r="P4" s="66">
        <f>(H4/N4)*10^9</f>
        <v>0.11450217899583377</v>
      </c>
      <c r="Q4" s="65">
        <v>0</v>
      </c>
      <c r="R4">
        <v>0</v>
      </c>
      <c r="S4" t="s">
        <v>179</v>
      </c>
      <c r="T4">
        <v>0</v>
      </c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</row>
    <row r="5" spans="1:99" s="33" customFormat="1" ht="19" x14ac:dyDescent="0.25">
      <c r="A5" s="33" t="s">
        <v>86</v>
      </c>
      <c r="B5" s="38">
        <v>0</v>
      </c>
      <c r="C5" s="33">
        <v>42</v>
      </c>
      <c r="D5" s="33">
        <v>34</v>
      </c>
      <c r="E5" s="35">
        <f>(C5+B5)/SUM(B$5:C$9)</f>
        <v>1.0581514965071302E-6</v>
      </c>
      <c r="F5" s="35">
        <f>D5/SUM(D$5:D$9)</f>
        <v>1.3356678712557595E-5</v>
      </c>
      <c r="G5" s="34">
        <f>J$9*F5</f>
        <v>1.6604515421660526E-6</v>
      </c>
      <c r="H5" s="34">
        <f>K$9*F5</f>
        <v>1.3746052610386075E-8</v>
      </c>
      <c r="I5" s="34">
        <f>L$9*E5</f>
        <v>6.8054219884233597E-8</v>
      </c>
      <c r="N5" s="60">
        <v>2531</v>
      </c>
      <c r="O5" s="66">
        <f>(G5/N5)*10^9</f>
        <v>0.65604565079654387</v>
      </c>
      <c r="P5" s="66">
        <f>(H5/N5)*10^9</f>
        <v>5.431075705407378E-3</v>
      </c>
      <c r="Q5" s="66">
        <f>(I5/N5)*10^9</f>
        <v>2.6888273363980086E-2</v>
      </c>
      <c r="R5" t="s">
        <v>107</v>
      </c>
      <c r="S5" t="s">
        <v>180</v>
      </c>
      <c r="T5" t="s">
        <v>219</v>
      </c>
    </row>
    <row r="6" spans="1:99" s="33" customFormat="1" ht="19" x14ac:dyDescent="0.25">
      <c r="A6" s="33" t="s">
        <v>85</v>
      </c>
      <c r="B6" s="37">
        <v>61940</v>
      </c>
      <c r="C6" s="36">
        <v>36280792</v>
      </c>
      <c r="D6" s="36">
        <v>1928742</v>
      </c>
      <c r="E6" s="35">
        <f>(C6+B6)/SUM(B$5:C$9)</f>
        <v>0.91562181554660871</v>
      </c>
      <c r="F6" s="35">
        <f>D6/SUM(D$5:D$9)</f>
        <v>0.75769374157105185</v>
      </c>
      <c r="G6" s="34">
        <f>J$9*F6</f>
        <v>9.4193606715895203E-2</v>
      </c>
      <c r="H6" s="34">
        <f>K$9*F6</f>
        <v>7.797820295253311E-4</v>
      </c>
      <c r="I6" s="34">
        <f>L$9*E6</f>
        <v>5.8887530350518393E-2</v>
      </c>
      <c r="N6" s="60">
        <v>897254993</v>
      </c>
      <c r="O6" s="66">
        <f t="shared" ref="O6:O69" si="0">(G6/N6)*10^9</f>
        <v>0.10497975207800846</v>
      </c>
      <c r="P6" s="66">
        <f t="shared" ref="P6:P69" si="1">(H6/N6)*10^9</f>
        <v>8.690751632577776E-4</v>
      </c>
      <c r="Q6" s="66">
        <f>(I6/N6)*10^9</f>
        <v>6.5630763617849697E-2</v>
      </c>
      <c r="R6" t="s">
        <v>108</v>
      </c>
      <c r="S6" t="s">
        <v>181</v>
      </c>
      <c r="T6" t="s">
        <v>220</v>
      </c>
    </row>
    <row r="7" spans="1:99" s="33" customFormat="1" ht="19" x14ac:dyDescent="0.25">
      <c r="A7" s="33" t="s">
        <v>84</v>
      </c>
      <c r="B7" s="37">
        <v>38021</v>
      </c>
      <c r="C7" s="36">
        <v>70957</v>
      </c>
      <c r="D7" s="36">
        <v>468470</v>
      </c>
      <c r="E7" s="35">
        <f>(C7+B7)/SUM(B$5:C$9)</f>
        <v>2.7456008044370005E-3</v>
      </c>
      <c r="F7" s="35">
        <f>D7/SUM(D$5:D$9)</f>
        <v>0.18403539048446638</v>
      </c>
      <c r="G7" s="34">
        <f>J$9*F7</f>
        <v>2.2878580410545021E-2</v>
      </c>
      <c r="H7" s="34">
        <f>K$9*F7</f>
        <v>1.8940039018786953E-4</v>
      </c>
      <c r="I7" s="34">
        <f>L$9*E7</f>
        <v>1.7658125653676211E-4</v>
      </c>
      <c r="N7" s="60">
        <v>5200357</v>
      </c>
      <c r="O7" s="66">
        <f>(G7/N7)*10^9</f>
        <v>4.3994249645832051</v>
      </c>
      <c r="P7" s="66">
        <f t="shared" si="1"/>
        <v>3.6420651541397932E-2</v>
      </c>
      <c r="Q7" s="66">
        <f t="shared" ref="Q7:Q69" si="2">(I7/N7)*10^9</f>
        <v>3.3955602766648926E-2</v>
      </c>
      <c r="R7" t="s">
        <v>109</v>
      </c>
      <c r="S7" t="s">
        <v>182</v>
      </c>
      <c r="T7" t="s">
        <v>221</v>
      </c>
    </row>
    <row r="8" spans="1:99" s="33" customFormat="1" ht="19" x14ac:dyDescent="0.25">
      <c r="A8" s="33" t="s">
        <v>83</v>
      </c>
      <c r="B8" s="37">
        <v>83971</v>
      </c>
      <c r="C8" s="36">
        <v>2142406</v>
      </c>
      <c r="D8" s="36">
        <v>109070</v>
      </c>
      <c r="E8" s="35">
        <f>(C8+B8)/SUM(B$5:C$9)</f>
        <v>5.6091527484263208E-2</v>
      </c>
      <c r="F8" s="35">
        <f>D8/SUM(D$5:D$9)</f>
        <v>4.2847439622901676E-2</v>
      </c>
      <c r="G8" s="34">
        <f>J$9*F8</f>
        <v>5.326630873648569E-3</v>
      </c>
      <c r="H8" s="34">
        <f>K$9*F8</f>
        <v>4.4096528182788508E-5</v>
      </c>
      <c r="I8" s="34">
        <f>L$9*E8</f>
        <v>3.6074845215047697E-3</v>
      </c>
      <c r="N8" s="60">
        <v>12021631</v>
      </c>
      <c r="O8" s="66">
        <f t="shared" si="0"/>
        <v>0.44308720452728662</v>
      </c>
      <c r="P8" s="66">
        <f>(H8/N8)*10^9</f>
        <v>3.6680986284463825E-3</v>
      </c>
      <c r="Q8" s="66">
        <f>(I8/N8)*10^9</f>
        <v>0.30008278589691945</v>
      </c>
      <c r="R8" t="s">
        <v>110</v>
      </c>
      <c r="S8" t="s">
        <v>183</v>
      </c>
      <c r="T8" t="s">
        <v>222</v>
      </c>
    </row>
    <row r="9" spans="1:99" s="33" customFormat="1" ht="19" x14ac:dyDescent="0.25">
      <c r="A9" s="33" t="s">
        <v>82</v>
      </c>
      <c r="B9" s="37">
        <v>275994</v>
      </c>
      <c r="C9" s="36">
        <v>737736</v>
      </c>
      <c r="D9" s="36">
        <v>39227</v>
      </c>
      <c r="E9" s="35">
        <f>(C9+B9)/SUM(B$5:C$9)</f>
        <v>2.5539998013194596E-2</v>
      </c>
      <c r="F9" s="35">
        <f>D9/SUM(D$5:D$9)</f>
        <v>1.5410071642867553E-2</v>
      </c>
      <c r="G9" s="34">
        <f>J$9*F9</f>
        <v>1.9157215483690513E-3</v>
      </c>
      <c r="H9" s="34">
        <f>K$9*F9</f>
        <v>1.5859306051400428E-5</v>
      </c>
      <c r="I9" s="34">
        <f>L$9*E9</f>
        <v>1.6425858172200982E-3</v>
      </c>
      <c r="J9" s="49">
        <v>0.1243162</v>
      </c>
      <c r="K9" s="33">
        <v>1.029152E-3</v>
      </c>
      <c r="L9" s="33">
        <v>6.4314249999999906E-2</v>
      </c>
      <c r="N9" s="60">
        <v>5321595</v>
      </c>
      <c r="O9" s="66">
        <f t="shared" si="0"/>
        <v>0.35999010604321663</v>
      </c>
      <c r="P9" s="66">
        <f t="shared" si="1"/>
        <v>2.9801790725149939E-3</v>
      </c>
      <c r="Q9" s="66">
        <f t="shared" si="2"/>
        <v>0.30866419132235701</v>
      </c>
      <c r="R9" t="s">
        <v>111</v>
      </c>
      <c r="S9" t="s">
        <v>184</v>
      </c>
      <c r="T9" t="s">
        <v>223</v>
      </c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</row>
    <row r="10" spans="1:99" s="25" customFormat="1" ht="19" x14ac:dyDescent="0.25">
      <c r="A10" s="25" t="s">
        <v>81</v>
      </c>
      <c r="B10" s="31">
        <v>0</v>
      </c>
      <c r="C10" s="30">
        <v>596744</v>
      </c>
      <c r="D10" s="25">
        <v>862</v>
      </c>
      <c r="E10" s="29">
        <f t="shared" ref="E10:E32" si="3">(C10+B10)/SUM(B$10:C$32)</f>
        <v>1.715730126930833E-3</v>
      </c>
      <c r="F10" s="29">
        <f t="shared" ref="F10:F32" si="4">D10/SUM(D$10:D$32)</f>
        <v>6.1076577415978959E-5</v>
      </c>
      <c r="G10" s="28">
        <f t="shared" ref="G10:G32" si="5">(J$20+J$23+J$24+J$32)*F10</f>
        <v>5.4694864336248518E-5</v>
      </c>
      <c r="H10" s="27">
        <f t="shared" ref="H10:H32" si="6">F10*(K$20+K$23+K$24+K$32)</f>
        <v>8.857707718393048E-6</v>
      </c>
      <c r="I10" s="3">
        <f t="shared" ref="I10:I32" si="7">E10*(L$20+L$24+L$32)</f>
        <v>3.0214254609312041E-3</v>
      </c>
      <c r="N10" s="27">
        <v>101830733</v>
      </c>
      <c r="O10" s="66">
        <f t="shared" si="0"/>
        <v>5.3711549278790435E-4</v>
      </c>
      <c r="P10" s="66">
        <f t="shared" si="1"/>
        <v>8.6984621021956576E-5</v>
      </c>
      <c r="Q10" s="66">
        <f t="shared" si="2"/>
        <v>2.9671056781366823E-2</v>
      </c>
      <c r="R10" t="s">
        <v>112</v>
      </c>
      <c r="S10" t="s">
        <v>185</v>
      </c>
      <c r="T10" t="s">
        <v>224</v>
      </c>
    </row>
    <row r="11" spans="1:99" s="25" customFormat="1" ht="19" x14ac:dyDescent="0.25">
      <c r="A11" s="25" t="s">
        <v>80</v>
      </c>
      <c r="B11" s="31">
        <v>0</v>
      </c>
      <c r="C11" s="30">
        <v>240532</v>
      </c>
      <c r="D11" s="30">
        <v>12607</v>
      </c>
      <c r="E11" s="29">
        <f t="shared" si="3"/>
        <v>6.9156623089788438E-4</v>
      </c>
      <c r="F11" s="29">
        <f t="shared" si="4"/>
        <v>8.9326265833323301E-4</v>
      </c>
      <c r="G11" s="28">
        <f t="shared" si="5"/>
        <v>7.9992825369731466E-4</v>
      </c>
      <c r="H11" s="27">
        <f t="shared" si="6"/>
        <v>1.2954654432225195E-4</v>
      </c>
      <c r="I11" s="3">
        <f t="shared" si="7"/>
        <v>1.2178580915245137E-3</v>
      </c>
      <c r="N11" s="27">
        <v>14177238</v>
      </c>
      <c r="O11" s="66">
        <f t="shared" si="0"/>
        <v>5.642341997061167E-2</v>
      </c>
      <c r="P11" s="66">
        <f t="shared" si="1"/>
        <v>9.1376433352005487E-3</v>
      </c>
      <c r="Q11" s="66">
        <f t="shared" si="2"/>
        <v>8.5902352173569618E-2</v>
      </c>
      <c r="R11" t="s">
        <v>113</v>
      </c>
      <c r="S11" t="s">
        <v>186</v>
      </c>
      <c r="T11" t="s">
        <v>225</v>
      </c>
    </row>
    <row r="12" spans="1:99" s="25" customFormat="1" ht="19" x14ac:dyDescent="0.25">
      <c r="A12" s="25" t="s">
        <v>79</v>
      </c>
      <c r="B12" s="31">
        <v>0</v>
      </c>
      <c r="C12" s="30">
        <v>2762</v>
      </c>
      <c r="D12" s="25">
        <v>121</v>
      </c>
      <c r="E12" s="29">
        <f t="shared" si="3"/>
        <v>7.9411717764786248E-6</v>
      </c>
      <c r="F12" s="29">
        <f t="shared" si="4"/>
        <v>8.5733942776490198E-6</v>
      </c>
      <c r="G12" s="28">
        <f t="shared" si="5"/>
        <v>7.6775853650650489E-6</v>
      </c>
      <c r="H12" s="27">
        <f t="shared" si="6"/>
        <v>1.2433673247396276E-6</v>
      </c>
      <c r="I12" s="3">
        <f t="shared" si="7"/>
        <v>1.3984517855381849E-5</v>
      </c>
      <c r="N12" s="27">
        <v>108027</v>
      </c>
      <c r="O12" s="66">
        <f t="shared" si="0"/>
        <v>7.1070985633823469E-2</v>
      </c>
      <c r="P12" s="66">
        <f t="shared" si="1"/>
        <v>1.1509782968513682E-2</v>
      </c>
      <c r="Q12" s="66">
        <f t="shared" si="2"/>
        <v>0.1294539129604807</v>
      </c>
      <c r="R12" t="s">
        <v>114</v>
      </c>
      <c r="S12" t="s">
        <v>187</v>
      </c>
      <c r="T12" t="s">
        <v>226</v>
      </c>
    </row>
    <row r="13" spans="1:99" s="25" customFormat="1" ht="19" x14ac:dyDescent="0.25">
      <c r="A13" s="25" t="s">
        <v>78</v>
      </c>
      <c r="B13" s="31">
        <v>0</v>
      </c>
      <c r="C13" s="30">
        <v>449043</v>
      </c>
      <c r="D13" s="30">
        <v>6139</v>
      </c>
      <c r="E13" s="29">
        <f t="shared" si="3"/>
        <v>1.2910671969678825E-3</v>
      </c>
      <c r="F13" s="29">
        <f t="shared" si="4"/>
        <v>4.3497576421890353E-4</v>
      </c>
      <c r="G13" s="28">
        <f t="shared" si="5"/>
        <v>3.8952641781929198E-4</v>
      </c>
      <c r="H13" s="27">
        <f t="shared" si="6"/>
        <v>6.3082909145260936E-5</v>
      </c>
      <c r="I13" s="3">
        <f t="shared" si="7"/>
        <v>2.2735879258994323E-3</v>
      </c>
      <c r="N13" s="27">
        <v>12837289</v>
      </c>
      <c r="O13" s="66">
        <f t="shared" si="0"/>
        <v>3.0343355035420017E-2</v>
      </c>
      <c r="P13" s="66">
        <f t="shared" si="1"/>
        <v>4.9140366899320361E-3</v>
      </c>
      <c r="Q13" s="66">
        <f t="shared" si="2"/>
        <v>0.17710810482644992</v>
      </c>
      <c r="R13" t="s">
        <v>115</v>
      </c>
      <c r="S13" t="s">
        <v>188</v>
      </c>
      <c r="T13" t="s">
        <v>227</v>
      </c>
    </row>
    <row r="14" spans="1:99" s="25" customFormat="1" ht="19" x14ac:dyDescent="0.25">
      <c r="A14" s="25" t="s">
        <v>77</v>
      </c>
      <c r="B14" s="31">
        <v>0</v>
      </c>
      <c r="C14" s="30">
        <v>326867</v>
      </c>
      <c r="D14" s="30">
        <v>7009</v>
      </c>
      <c r="E14" s="29">
        <f t="shared" si="3"/>
        <v>9.3979253984874682E-4</v>
      </c>
      <c r="F14" s="29">
        <f t="shared" si="4"/>
        <v>4.9661917762018159E-4</v>
      </c>
      <c r="G14" s="28">
        <f t="shared" si="5"/>
        <v>4.4472889110529684E-4</v>
      </c>
      <c r="H14" s="27">
        <f t="shared" si="6"/>
        <v>7.2022822967769001E-5</v>
      </c>
      <c r="I14" s="3">
        <f t="shared" si="7"/>
        <v>1.654988196174909E-3</v>
      </c>
      <c r="N14" s="27">
        <v>12335586</v>
      </c>
      <c r="O14" s="66">
        <f t="shared" si="0"/>
        <v>3.6052514335784033E-2</v>
      </c>
      <c r="P14" s="66">
        <f t="shared" si="1"/>
        <v>5.8386219323321165E-3</v>
      </c>
      <c r="Q14" s="66">
        <f t="shared" si="2"/>
        <v>0.13416372729880113</v>
      </c>
      <c r="R14" t="s">
        <v>116</v>
      </c>
      <c r="S14" t="s">
        <v>189</v>
      </c>
      <c r="T14" t="s">
        <v>228</v>
      </c>
    </row>
    <row r="15" spans="1:99" s="25" customFormat="1" ht="19" x14ac:dyDescent="0.25">
      <c r="A15" s="25" t="s">
        <v>76</v>
      </c>
      <c r="B15" s="31">
        <v>0</v>
      </c>
      <c r="C15" s="30">
        <v>69584</v>
      </c>
      <c r="D15" s="25">
        <v>228</v>
      </c>
      <c r="E15" s="29">
        <f t="shared" si="3"/>
        <v>2.0006462595745423E-4</v>
      </c>
      <c r="F15" s="29">
        <f t="shared" si="4"/>
        <v>1.61548255810246E-5</v>
      </c>
      <c r="G15" s="28">
        <f t="shared" si="5"/>
        <v>1.4466855068056455E-5</v>
      </c>
      <c r="H15" s="27">
        <f t="shared" si="6"/>
        <v>2.342873967277976E-6</v>
      </c>
      <c r="I15" s="3">
        <f t="shared" si="7"/>
        <v>3.5231668734572426E-4</v>
      </c>
      <c r="N15" s="27">
        <v>715787</v>
      </c>
      <c r="O15" s="66">
        <f t="shared" si="0"/>
        <v>2.0211117368793309E-2</v>
      </c>
      <c r="P15" s="66">
        <f t="shared" si="1"/>
        <v>3.2731440600038504E-3</v>
      </c>
      <c r="Q15" s="66">
        <f t="shared" si="2"/>
        <v>0.49220883774883345</v>
      </c>
      <c r="R15" t="s">
        <v>117</v>
      </c>
      <c r="S15" t="s">
        <v>190</v>
      </c>
      <c r="T15" t="s">
        <v>229</v>
      </c>
    </row>
    <row r="16" spans="1:99" s="25" customFormat="1" ht="19" x14ac:dyDescent="0.25">
      <c r="A16" s="25" t="s">
        <v>75</v>
      </c>
      <c r="B16" s="31">
        <v>0</v>
      </c>
      <c r="C16" s="30">
        <v>489950</v>
      </c>
      <c r="D16" s="30">
        <v>71452</v>
      </c>
      <c r="E16" s="29">
        <f t="shared" si="3"/>
        <v>1.408681068749349E-3</v>
      </c>
      <c r="F16" s="29">
        <f t="shared" si="4"/>
        <v>5.0626956026989895E-3</v>
      </c>
      <c r="G16" s="28">
        <f t="shared" si="5"/>
        <v>4.5337093347489902E-3</v>
      </c>
      <c r="H16" s="27">
        <f t="shared" si="6"/>
        <v>7.3422381890327168E-4</v>
      </c>
      <c r="I16" s="3">
        <f t="shared" si="7"/>
        <v>2.4807076478075077E-3</v>
      </c>
      <c r="N16" s="27">
        <v>8848360</v>
      </c>
      <c r="O16" s="66">
        <f t="shared" si="0"/>
        <v>0.5123784898838869</v>
      </c>
      <c r="P16" s="66">
        <f t="shared" si="1"/>
        <v>8.2978520189421728E-2</v>
      </c>
      <c r="Q16" s="66">
        <f t="shared" si="2"/>
        <v>0.28035790223357865</v>
      </c>
      <c r="R16" t="s">
        <v>118</v>
      </c>
      <c r="S16" t="s">
        <v>191</v>
      </c>
      <c r="T16" t="s">
        <v>230</v>
      </c>
    </row>
    <row r="17" spans="1:99" s="25" customFormat="1" ht="19" x14ac:dyDescent="0.25">
      <c r="A17" s="25" t="s">
        <v>74</v>
      </c>
      <c r="B17" s="31">
        <v>0</v>
      </c>
      <c r="C17" s="30">
        <v>249792</v>
      </c>
      <c r="D17" s="30">
        <v>77593</v>
      </c>
      <c r="E17" s="29">
        <f t="shared" si="3"/>
        <v>7.1819014496384817E-4</v>
      </c>
      <c r="F17" s="29">
        <f t="shared" si="4"/>
        <v>5.4978130759142175E-3</v>
      </c>
      <c r="G17" s="28">
        <f t="shared" si="5"/>
        <v>4.9233626548057206E-3</v>
      </c>
      <c r="H17" s="27">
        <f t="shared" si="6"/>
        <v>7.9732727957456133E-4</v>
      </c>
      <c r="I17" s="3">
        <f t="shared" si="7"/>
        <v>1.2647431875928829E-3</v>
      </c>
      <c r="N17" s="27">
        <v>20832420</v>
      </c>
      <c r="O17" s="66">
        <f t="shared" si="0"/>
        <v>0.23633176821539317</v>
      </c>
      <c r="P17" s="66">
        <f t="shared" si="1"/>
        <v>3.8273387324879268E-2</v>
      </c>
      <c r="Q17" s="66">
        <f t="shared" si="2"/>
        <v>6.0710334545524852E-2</v>
      </c>
      <c r="R17" t="s">
        <v>119</v>
      </c>
      <c r="S17" t="s">
        <v>192</v>
      </c>
      <c r="T17" t="s">
        <v>231</v>
      </c>
    </row>
    <row r="18" spans="1:99" s="25" customFormat="1" ht="19" x14ac:dyDescent="0.25">
      <c r="A18" s="25" t="s">
        <v>73</v>
      </c>
      <c r="B18" s="31">
        <v>0</v>
      </c>
      <c r="C18" s="30">
        <v>250082</v>
      </c>
      <c r="D18" s="30">
        <v>251681</v>
      </c>
      <c r="E18" s="29">
        <f t="shared" si="3"/>
        <v>7.1902393924885139E-4</v>
      </c>
      <c r="F18" s="29">
        <f t="shared" si="4"/>
        <v>1.7832730952008123E-2</v>
      </c>
      <c r="G18" s="28">
        <f t="shared" si="5"/>
        <v>1.596944101045402E-2</v>
      </c>
      <c r="H18" s="27">
        <f t="shared" si="6"/>
        <v>2.58621431122144E-3</v>
      </c>
      <c r="I18" s="3">
        <f t="shared" si="7"/>
        <v>1.2662115113358449E-3</v>
      </c>
      <c r="N18" s="27">
        <v>9124131</v>
      </c>
      <c r="O18" s="66">
        <f t="shared" si="0"/>
        <v>1.7502424077924814</v>
      </c>
      <c r="P18" s="66">
        <f t="shared" si="1"/>
        <v>0.2834477399789021</v>
      </c>
      <c r="Q18" s="66">
        <f t="shared" si="2"/>
        <v>0.13877612140113341</v>
      </c>
      <c r="R18" t="s">
        <v>120</v>
      </c>
      <c r="S18" t="s">
        <v>193</v>
      </c>
      <c r="T18" t="s">
        <v>232</v>
      </c>
    </row>
    <row r="19" spans="1:99" s="25" customFormat="1" ht="19" x14ac:dyDescent="0.25">
      <c r="A19" s="25" t="s">
        <v>72</v>
      </c>
      <c r="B19" s="32">
        <v>196494195</v>
      </c>
      <c r="C19" s="30">
        <v>34893063</v>
      </c>
      <c r="D19" s="30">
        <v>5210529</v>
      </c>
      <c r="E19" s="29">
        <f t="shared" si="3"/>
        <v>0.66527370118261331</v>
      </c>
      <c r="F19" s="29">
        <f t="shared" si="4"/>
        <v>0.36918941745557243</v>
      </c>
      <c r="G19" s="28">
        <f t="shared" si="5"/>
        <v>0.33061389417063652</v>
      </c>
      <c r="H19" s="27">
        <f t="shared" si="6"/>
        <v>5.354216118353923E-2</v>
      </c>
      <c r="I19" s="3">
        <f t="shared" si="7"/>
        <v>1.1715565680698212</v>
      </c>
      <c r="N19" s="27">
        <v>471268975</v>
      </c>
      <c r="O19" s="66">
        <f t="shared" si="0"/>
        <v>0.70153969751697864</v>
      </c>
      <c r="P19" s="66">
        <f t="shared" si="1"/>
        <v>0.11361274351560958</v>
      </c>
      <c r="Q19" s="66">
        <f t="shared" si="2"/>
        <v>2.4859615850371251</v>
      </c>
      <c r="R19" t="s">
        <v>121</v>
      </c>
      <c r="S19" t="s">
        <v>194</v>
      </c>
      <c r="T19" t="s">
        <v>233</v>
      </c>
    </row>
    <row r="20" spans="1:99" s="25" customFormat="1" ht="19" x14ac:dyDescent="0.25">
      <c r="A20" s="25" t="s">
        <v>71</v>
      </c>
      <c r="B20" s="32">
        <v>62287189</v>
      </c>
      <c r="C20" s="30">
        <v>23822942</v>
      </c>
      <c r="D20" s="30">
        <v>6303780</v>
      </c>
      <c r="E20" s="29">
        <f t="shared" si="3"/>
        <v>0.24757977623681285</v>
      </c>
      <c r="F20" s="29">
        <f t="shared" si="4"/>
        <v>0.44665116842610197</v>
      </c>
      <c r="G20" s="28">
        <f t="shared" si="5"/>
        <v>0.3999818931618988</v>
      </c>
      <c r="H20" s="27">
        <f t="shared" si="6"/>
        <v>6.4776149374769998E-2</v>
      </c>
      <c r="I20" s="3">
        <f t="shared" si="7"/>
        <v>0.43599155123054673</v>
      </c>
      <c r="J20" s="50">
        <v>0.6361464</v>
      </c>
      <c r="K20" s="50">
        <v>3.4807789999999998E-2</v>
      </c>
      <c r="L20" s="50">
        <v>0.55940500000000004</v>
      </c>
      <c r="M20" s="26">
        <f t="shared" ref="M20:M45" si="8">SUM(J20:L20)</f>
        <v>1.2303591900000002</v>
      </c>
      <c r="N20" s="27">
        <v>231087947</v>
      </c>
      <c r="O20" s="66">
        <f t="shared" si="0"/>
        <v>1.7308643672441246</v>
      </c>
      <c r="P20" s="66">
        <f t="shared" si="1"/>
        <v>0.28030951079750599</v>
      </c>
      <c r="Q20" s="66">
        <f t="shared" si="2"/>
        <v>1.886691006132599</v>
      </c>
      <c r="R20" t="s">
        <v>122</v>
      </c>
      <c r="S20" t="s">
        <v>195</v>
      </c>
      <c r="T20" t="s">
        <v>234</v>
      </c>
    </row>
    <row r="21" spans="1:99" s="25" customFormat="1" ht="19" x14ac:dyDescent="0.25">
      <c r="A21" s="25" t="s">
        <v>70</v>
      </c>
      <c r="B21" s="31">
        <v>247</v>
      </c>
      <c r="C21" s="30">
        <v>260617</v>
      </c>
      <c r="D21" s="30">
        <v>11859</v>
      </c>
      <c r="E21" s="29">
        <f t="shared" si="3"/>
        <v>7.5002383573472844E-4</v>
      </c>
      <c r="F21" s="29">
        <f t="shared" si="4"/>
        <v>8.4026349370776624E-4</v>
      </c>
      <c r="G21" s="28">
        <f t="shared" si="5"/>
        <v>7.5246681689509424E-4</v>
      </c>
      <c r="H21" s="27">
        <f t="shared" si="6"/>
        <v>1.2186027358749787E-4</v>
      </c>
      <c r="I21" s="3">
        <f t="shared" si="7"/>
        <v>1.3208027754621036E-3</v>
      </c>
      <c r="M21" s="26">
        <f t="shared" si="8"/>
        <v>0</v>
      </c>
      <c r="N21" s="27">
        <v>5919156</v>
      </c>
      <c r="O21" s="66">
        <f t="shared" si="0"/>
        <v>0.12712400499245066</v>
      </c>
      <c r="P21" s="66">
        <f t="shared" si="1"/>
        <v>2.0587440774917549E-2</v>
      </c>
      <c r="Q21" s="66">
        <f t="shared" si="2"/>
        <v>0.22314038951872592</v>
      </c>
      <c r="R21" t="s">
        <v>123</v>
      </c>
      <c r="S21" t="s">
        <v>196</v>
      </c>
      <c r="T21" t="s">
        <v>235</v>
      </c>
    </row>
    <row r="22" spans="1:99" s="25" customFormat="1" ht="19" x14ac:dyDescent="0.25">
      <c r="A22" s="25" t="s">
        <v>69</v>
      </c>
      <c r="B22" s="32">
        <v>1125</v>
      </c>
      <c r="C22" s="30">
        <v>4265132</v>
      </c>
      <c r="D22" s="30">
        <v>33249</v>
      </c>
      <c r="E22" s="29">
        <f t="shared" si="3"/>
        <v>1.2266140361913239E-2</v>
      </c>
      <c r="F22" s="29">
        <f t="shared" si="4"/>
        <v>2.3558412094012581E-3</v>
      </c>
      <c r="G22" s="28">
        <f t="shared" si="5"/>
        <v>2.1096862463061798E-3</v>
      </c>
      <c r="H22" s="27">
        <f t="shared" si="6"/>
        <v>3.4165884446502373E-4</v>
      </c>
      <c r="I22" s="3">
        <f t="shared" si="7"/>
        <v>2.1600849816128816E-2</v>
      </c>
      <c r="M22" s="26">
        <f t="shared" si="8"/>
        <v>0</v>
      </c>
      <c r="N22" s="27">
        <v>22421928</v>
      </c>
      <c r="O22" s="66">
        <f t="shared" si="0"/>
        <v>9.4090314013414902E-2</v>
      </c>
      <c r="P22" s="66">
        <f t="shared" si="1"/>
        <v>1.5237710355016025E-2</v>
      </c>
      <c r="Q22" s="66">
        <f t="shared" si="2"/>
        <v>0.96338057173891634</v>
      </c>
      <c r="R22" t="s">
        <v>124</v>
      </c>
      <c r="S22" t="s">
        <v>197</v>
      </c>
      <c r="T22" t="s">
        <v>236</v>
      </c>
    </row>
    <row r="23" spans="1:99" s="25" customFormat="1" ht="19" x14ac:dyDescent="0.25">
      <c r="A23" s="25" t="s">
        <v>68</v>
      </c>
      <c r="B23" s="32">
        <v>268614</v>
      </c>
      <c r="C23" s="30">
        <v>7674414</v>
      </c>
      <c r="D23" s="30">
        <v>1158420</v>
      </c>
      <c r="E23" s="29">
        <f t="shared" si="3"/>
        <v>2.283741845524238E-2</v>
      </c>
      <c r="F23" s="29">
        <f t="shared" si="4"/>
        <v>8.2079267761274194E-2</v>
      </c>
      <c r="G23" s="28">
        <f t="shared" si="5"/>
        <v>7.3503044947096308E-2</v>
      </c>
      <c r="H23" s="27">
        <f t="shared" si="6"/>
        <v>1.1903649391114705E-2</v>
      </c>
      <c r="I23" s="3">
        <f t="shared" si="7"/>
        <v>4.021702277038304E-2</v>
      </c>
      <c r="J23" s="25">
        <v>6.2458300000000001E-2</v>
      </c>
      <c r="K23" s="25">
        <v>2.3485599999999999E-2</v>
      </c>
      <c r="L23" s="25" t="s">
        <v>67</v>
      </c>
      <c r="M23" s="26">
        <f t="shared" si="8"/>
        <v>8.5943900000000004E-2</v>
      </c>
      <c r="N23" s="27">
        <v>45487293</v>
      </c>
      <c r="O23" s="66">
        <f t="shared" si="0"/>
        <v>1.6159028181144195</v>
      </c>
      <c r="P23" s="66">
        <f t="shared" si="1"/>
        <v>0.26169175182868554</v>
      </c>
      <c r="Q23" s="66">
        <f t="shared" si="2"/>
        <v>0.88413752760321529</v>
      </c>
      <c r="R23" t="s">
        <v>125</v>
      </c>
      <c r="S23" t="s">
        <v>198</v>
      </c>
      <c r="T23" t="s">
        <v>237</v>
      </c>
    </row>
    <row r="24" spans="1:99" s="25" customFormat="1" ht="19" x14ac:dyDescent="0.25">
      <c r="A24" s="25" t="s">
        <v>66</v>
      </c>
      <c r="B24" s="32">
        <v>12368</v>
      </c>
      <c r="C24" s="30">
        <v>9799304</v>
      </c>
      <c r="D24" s="30">
        <v>338036</v>
      </c>
      <c r="E24" s="29">
        <f t="shared" si="3"/>
        <v>2.8210055310088914E-2</v>
      </c>
      <c r="F24" s="29">
        <f t="shared" si="4"/>
        <v>2.3951371140821191E-2</v>
      </c>
      <c r="G24" s="28">
        <f t="shared" si="5"/>
        <v>2.1448762367480403E-2</v>
      </c>
      <c r="H24" s="27">
        <f t="shared" si="6"/>
        <v>3.4735778263279733E-3</v>
      </c>
      <c r="I24" s="3">
        <f t="shared" si="7"/>
        <v>4.9678313640532268E-2</v>
      </c>
      <c r="J24" s="25">
        <v>7.715729247E-2</v>
      </c>
      <c r="K24" s="25">
        <v>4.6601082000000002E-2</v>
      </c>
      <c r="L24" s="25">
        <v>9.1770052000000001E-4</v>
      </c>
      <c r="M24" s="26">
        <f t="shared" si="8"/>
        <v>0.12467607499</v>
      </c>
      <c r="N24" s="27">
        <v>38837023</v>
      </c>
      <c r="O24" s="66">
        <f t="shared" si="0"/>
        <v>0.5522761713090214</v>
      </c>
      <c r="P24" s="66">
        <f t="shared" si="1"/>
        <v>8.9439858104674336E-2</v>
      </c>
      <c r="Q24" s="66">
        <f t="shared" si="2"/>
        <v>1.2791483435929749</v>
      </c>
      <c r="R24" t="s">
        <v>126</v>
      </c>
      <c r="S24" t="s">
        <v>199</v>
      </c>
      <c r="T24" t="s">
        <v>238</v>
      </c>
    </row>
    <row r="25" spans="1:99" s="25" customFormat="1" ht="19" x14ac:dyDescent="0.25">
      <c r="A25" s="25" t="s">
        <v>65</v>
      </c>
      <c r="B25" s="32">
        <v>5292</v>
      </c>
      <c r="C25" s="30">
        <v>2354510</v>
      </c>
      <c r="D25" s="30">
        <v>213926</v>
      </c>
      <c r="E25" s="29">
        <f t="shared" si="3"/>
        <v>6.7847911080658263E-3</v>
      </c>
      <c r="F25" s="29">
        <f t="shared" si="4"/>
        <v>1.5157619373887142E-2</v>
      </c>
      <c r="G25" s="28">
        <f t="shared" si="5"/>
        <v>1.3573844023197567E-2</v>
      </c>
      <c r="H25" s="27">
        <f t="shared" si="6"/>
        <v>2.1982528786136327E-3</v>
      </c>
      <c r="I25" s="3">
        <f t="shared" si="7"/>
        <v>1.1948114845823967E-2</v>
      </c>
      <c r="M25" s="26">
        <f t="shared" si="8"/>
        <v>0</v>
      </c>
      <c r="N25" s="27">
        <v>35999930</v>
      </c>
      <c r="O25" s="66">
        <f t="shared" si="0"/>
        <v>0.37705195602318026</v>
      </c>
      <c r="P25" s="66">
        <f t="shared" si="1"/>
        <v>6.1062698694515034E-2</v>
      </c>
      <c r="Q25" s="66">
        <f t="shared" si="2"/>
        <v>0.3318927243976299</v>
      </c>
      <c r="R25" t="s">
        <v>127</v>
      </c>
      <c r="S25" t="s">
        <v>200</v>
      </c>
      <c r="T25" t="s">
        <v>239</v>
      </c>
    </row>
    <row r="26" spans="1:99" s="25" customFormat="1" ht="19" x14ac:dyDescent="0.25">
      <c r="A26" s="25" t="s">
        <v>64</v>
      </c>
      <c r="B26" s="31">
        <v>0</v>
      </c>
      <c r="C26" s="30">
        <v>88988</v>
      </c>
      <c r="D26" s="30">
        <v>2226</v>
      </c>
      <c r="E26" s="29">
        <f t="shared" si="3"/>
        <v>2.5585408908228817E-4</v>
      </c>
      <c r="F26" s="29">
        <f t="shared" si="4"/>
        <v>1.5772211290947699E-4</v>
      </c>
      <c r="G26" s="28">
        <f t="shared" si="5"/>
        <v>1.4124219026970906E-4</v>
      </c>
      <c r="H26" s="27">
        <f t="shared" si="6"/>
        <v>2.2873848470003396E-5</v>
      </c>
      <c r="I26" s="3">
        <f t="shared" si="7"/>
        <v>4.5056273530583635E-4</v>
      </c>
      <c r="M26" s="26">
        <f t="shared" si="8"/>
        <v>0</v>
      </c>
      <c r="N26" s="27">
        <v>1088682</v>
      </c>
      <c r="O26" s="66">
        <f t="shared" si="0"/>
        <v>0.12973686555827049</v>
      </c>
      <c r="P26" s="66">
        <f t="shared" si="1"/>
        <v>2.1010587545310197E-2</v>
      </c>
      <c r="Q26" s="66">
        <f t="shared" si="2"/>
        <v>0.4138607373924032</v>
      </c>
      <c r="R26" t="s">
        <v>128</v>
      </c>
      <c r="S26" t="s">
        <v>201</v>
      </c>
      <c r="T26" t="s">
        <v>240</v>
      </c>
    </row>
    <row r="27" spans="1:99" s="25" customFormat="1" ht="19" x14ac:dyDescent="0.25">
      <c r="A27" s="25" t="s">
        <v>63</v>
      </c>
      <c r="B27" s="31">
        <v>0</v>
      </c>
      <c r="C27" s="30">
        <v>1296034</v>
      </c>
      <c r="D27" s="30">
        <v>212797</v>
      </c>
      <c r="E27" s="29">
        <f t="shared" si="3"/>
        <v>3.7262956633442065E-3</v>
      </c>
      <c r="F27" s="29">
        <f t="shared" si="4"/>
        <v>1.5077624645461805E-2</v>
      </c>
      <c r="G27" s="28">
        <f t="shared" si="5"/>
        <v>1.35022077101632E-2</v>
      </c>
      <c r="H27" s="27">
        <f t="shared" si="6"/>
        <v>2.186651542170401E-3</v>
      </c>
      <c r="I27" s="3">
        <f t="shared" si="7"/>
        <v>6.5620603237443731E-3</v>
      </c>
      <c r="M27" s="26">
        <f t="shared" si="8"/>
        <v>0</v>
      </c>
      <c r="N27" s="27">
        <v>28667400</v>
      </c>
      <c r="O27" s="66">
        <f t="shared" si="0"/>
        <v>0.47099519698902581</v>
      </c>
      <c r="P27" s="66">
        <f t="shared" si="1"/>
        <v>7.6276590907107061E-2</v>
      </c>
      <c r="Q27" s="66">
        <f t="shared" si="2"/>
        <v>0.22890322539694472</v>
      </c>
      <c r="R27" t="s">
        <v>129</v>
      </c>
      <c r="S27" t="s">
        <v>202</v>
      </c>
      <c r="T27" t="s">
        <v>241</v>
      </c>
    </row>
    <row r="28" spans="1:99" s="25" customFormat="1" ht="19" x14ac:dyDescent="0.25">
      <c r="A28" s="25" t="s">
        <v>62</v>
      </c>
      <c r="B28" s="31">
        <v>0</v>
      </c>
      <c r="C28" s="30">
        <v>586693</v>
      </c>
      <c r="D28" s="30">
        <v>150594</v>
      </c>
      <c r="E28" s="29">
        <f t="shared" si="3"/>
        <v>1.6868319670737052E-3</v>
      </c>
      <c r="F28" s="29">
        <f t="shared" si="4"/>
        <v>1.0670262296266747E-2</v>
      </c>
      <c r="G28" s="28">
        <f t="shared" si="5"/>
        <v>9.5553577724512874E-3</v>
      </c>
      <c r="H28" s="27">
        <f t="shared" si="6"/>
        <v>1.5474682553871032E-3</v>
      </c>
      <c r="I28" s="3">
        <f t="shared" si="7"/>
        <v>2.9705353852742733E-3</v>
      </c>
      <c r="M28" s="26">
        <f t="shared" si="8"/>
        <v>0</v>
      </c>
      <c r="N28" s="27">
        <v>14545994</v>
      </c>
      <c r="O28" s="66">
        <f t="shared" si="0"/>
        <v>0.65690648383680672</v>
      </c>
      <c r="P28" s="66">
        <f t="shared" si="1"/>
        <v>0.10638449702283001</v>
      </c>
      <c r="Q28" s="66">
        <f t="shared" si="2"/>
        <v>0.20421673384948963</v>
      </c>
      <c r="R28" t="s">
        <v>130</v>
      </c>
      <c r="S28" t="s">
        <v>203</v>
      </c>
      <c r="T28" t="s">
        <v>242</v>
      </c>
    </row>
    <row r="29" spans="1:99" s="25" customFormat="1" ht="19" x14ac:dyDescent="0.25">
      <c r="A29" s="25" t="s">
        <v>61</v>
      </c>
      <c r="B29" s="31">
        <v>0</v>
      </c>
      <c r="C29" s="30">
        <v>223170</v>
      </c>
      <c r="D29" s="30">
        <v>13503</v>
      </c>
      <c r="E29" s="29">
        <f t="shared" si="3"/>
        <v>6.4164782960055564E-4</v>
      </c>
      <c r="F29" s="29">
        <f t="shared" si="4"/>
        <v>9.5674828868673315E-4</v>
      </c>
      <c r="G29" s="28">
        <f t="shared" si="5"/>
        <v>8.5678045607002768E-4</v>
      </c>
      <c r="H29" s="27">
        <f t="shared" si="6"/>
        <v>1.3875362798313381E-4</v>
      </c>
      <c r="I29" s="3">
        <f t="shared" si="7"/>
        <v>1.1299510679889815E-3</v>
      </c>
      <c r="M29" s="26">
        <f t="shared" si="8"/>
        <v>0</v>
      </c>
      <c r="N29" s="27">
        <v>6195589</v>
      </c>
      <c r="O29" s="66">
        <f t="shared" si="0"/>
        <v>0.13828878191726851</v>
      </c>
      <c r="P29" s="66">
        <f t="shared" si="1"/>
        <v>2.2395550767349774E-2</v>
      </c>
      <c r="Q29" s="66">
        <f t="shared" si="2"/>
        <v>0.18237992674933431</v>
      </c>
      <c r="R29" t="s">
        <v>131</v>
      </c>
      <c r="S29" t="s">
        <v>204</v>
      </c>
      <c r="T29" t="s">
        <v>243</v>
      </c>
    </row>
    <row r="30" spans="1:99" s="25" customFormat="1" ht="19" x14ac:dyDescent="0.25">
      <c r="A30" s="25" t="s">
        <v>60</v>
      </c>
      <c r="B30" s="31">
        <v>0</v>
      </c>
      <c r="C30" s="30">
        <v>95005</v>
      </c>
      <c r="D30" s="30">
        <v>8561</v>
      </c>
      <c r="E30" s="29">
        <f t="shared" si="3"/>
        <v>2.7315388291975081E-4</v>
      </c>
      <c r="F30" s="29">
        <f t="shared" si="4"/>
        <v>6.065853587682087E-4</v>
      </c>
      <c r="G30" s="28">
        <f t="shared" si="5"/>
        <v>5.4320502735803202E-4</v>
      </c>
      <c r="H30" s="27">
        <f t="shared" si="6"/>
        <v>8.7970807166082236E-5</v>
      </c>
      <c r="I30" s="3">
        <f t="shared" si="7"/>
        <v>4.8102792137963521E-4</v>
      </c>
      <c r="M30" s="26">
        <f t="shared" si="8"/>
        <v>0</v>
      </c>
      <c r="N30" s="27">
        <v>2761872</v>
      </c>
      <c r="O30" s="66">
        <f t="shared" si="0"/>
        <v>0.1966800153511937</v>
      </c>
      <c r="P30" s="66">
        <f t="shared" si="1"/>
        <v>3.1851876975501486E-2</v>
      </c>
      <c r="Q30" s="66">
        <f t="shared" si="2"/>
        <v>0.17416734786392535</v>
      </c>
      <c r="R30" t="s">
        <v>132</v>
      </c>
      <c r="S30" t="s">
        <v>205</v>
      </c>
      <c r="T30" t="s">
        <v>244</v>
      </c>
    </row>
    <row r="31" spans="1:99" s="25" customFormat="1" ht="19" x14ac:dyDescent="0.25">
      <c r="A31" s="25" t="s">
        <v>59</v>
      </c>
      <c r="B31" s="31">
        <v>0</v>
      </c>
      <c r="C31" s="30">
        <v>440664</v>
      </c>
      <c r="D31" s="30">
        <v>16927</v>
      </c>
      <c r="E31" s="29">
        <f t="shared" si="3"/>
        <v>1.2669762924367041E-3</v>
      </c>
      <c r="F31" s="29">
        <f t="shared" si="4"/>
        <v>1.1993540903947517E-3</v>
      </c>
      <c r="G31" s="28">
        <f t="shared" si="5"/>
        <v>1.0740370865657527E-3</v>
      </c>
      <c r="H31" s="27">
        <f t="shared" si="6"/>
        <v>1.7393784054436096E-4</v>
      </c>
      <c r="I31" s="3">
        <f t="shared" si="7"/>
        <v>2.2311634960984748E-3</v>
      </c>
      <c r="M31" s="26">
        <f t="shared" si="8"/>
        <v>0</v>
      </c>
      <c r="N31" s="27">
        <v>17036334</v>
      </c>
      <c r="O31" s="66">
        <f t="shared" si="0"/>
        <v>6.3043908775547178E-2</v>
      </c>
      <c r="P31" s="66">
        <f t="shared" si="1"/>
        <v>1.0209816298762454E-2</v>
      </c>
      <c r="Q31" s="66">
        <f t="shared" si="2"/>
        <v>0.13096500080935691</v>
      </c>
      <c r="R31" t="s">
        <v>133</v>
      </c>
      <c r="S31" t="s">
        <v>206</v>
      </c>
      <c r="T31" t="s">
        <v>245</v>
      </c>
    </row>
    <row r="32" spans="1:99" s="25" customFormat="1" ht="19" x14ac:dyDescent="0.25">
      <c r="A32" s="25" t="s">
        <v>58</v>
      </c>
      <c r="B32" s="31">
        <v>0</v>
      </c>
      <c r="C32" s="30">
        <v>262691</v>
      </c>
      <c r="D32" s="30">
        <v>11331</v>
      </c>
      <c r="E32" s="29">
        <f t="shared" si="3"/>
        <v>7.5527673973024856E-4</v>
      </c>
      <c r="F32" s="29">
        <f t="shared" si="4"/>
        <v>8.0285231867802511E-4</v>
      </c>
      <c r="G32" s="28">
        <f t="shared" si="5"/>
        <v>7.1896462621117406E-4</v>
      </c>
      <c r="H32" s="27">
        <f t="shared" si="6"/>
        <v>1.1643467071590678E-4</v>
      </c>
      <c r="I32" s="3">
        <f t="shared" si="7"/>
        <v>1.3300532150427636E-3</v>
      </c>
      <c r="J32" s="51">
        <v>0.11975093000000001</v>
      </c>
      <c r="K32" s="25">
        <v>4.0131790000000001E-2</v>
      </c>
      <c r="L32" s="58">
        <v>1.2006916999999999</v>
      </c>
      <c r="M32" s="26">
        <f t="shared" si="8"/>
        <v>1.3605744199999998</v>
      </c>
      <c r="N32" s="27">
        <v>5900055</v>
      </c>
      <c r="O32" s="66">
        <f t="shared" si="0"/>
        <v>0.12185727526458211</v>
      </c>
      <c r="P32" s="66">
        <f t="shared" si="1"/>
        <v>1.9734505986114838E-2</v>
      </c>
      <c r="Q32" s="66">
        <f t="shared" si="2"/>
        <v>0.22543064684020125</v>
      </c>
      <c r="R32" t="s">
        <v>134</v>
      </c>
      <c r="S32" t="s">
        <v>207</v>
      </c>
      <c r="T32" t="s">
        <v>246</v>
      </c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</row>
    <row r="33" spans="1:99" s="18" customFormat="1" ht="19" x14ac:dyDescent="0.25">
      <c r="A33" s="18" t="s">
        <v>57</v>
      </c>
      <c r="B33" s="24">
        <v>0</v>
      </c>
      <c r="C33" s="20">
        <v>844303</v>
      </c>
      <c r="D33" s="20">
        <v>104112</v>
      </c>
      <c r="E33" s="18">
        <f>(C33+B33)/SUM(B$33:C$34)</f>
        <v>2.5763933934587303E-2</v>
      </c>
      <c r="F33" s="18">
        <f>(D33)/SUM(D$33:D$34)</f>
        <v>1.0871481116085265E-2</v>
      </c>
      <c r="G33" s="21">
        <f>J$34*F33</f>
        <v>0</v>
      </c>
      <c r="H33" s="20">
        <f>F33*K$34</f>
        <v>9.9665933853879084E-3</v>
      </c>
      <c r="I33" s="3">
        <f>E33*(L$34)</f>
        <v>8.4245021245502798E-4</v>
      </c>
      <c r="M33" s="19">
        <f t="shared" si="8"/>
        <v>0</v>
      </c>
      <c r="N33" s="61">
        <v>9853860</v>
      </c>
      <c r="O33" s="66">
        <f t="shared" si="0"/>
        <v>0</v>
      </c>
      <c r="P33" s="66">
        <f t="shared" si="1"/>
        <v>1.0114405304507987</v>
      </c>
      <c r="Q33" s="66">
        <f t="shared" si="2"/>
        <v>8.5494436947046934E-2</v>
      </c>
      <c r="R33">
        <v>0</v>
      </c>
      <c r="S33" t="s">
        <v>208</v>
      </c>
      <c r="T33" t="s">
        <v>247</v>
      </c>
    </row>
    <row r="34" spans="1:99" s="18" customFormat="1" ht="19" x14ac:dyDescent="0.25">
      <c r="A34" s="23" t="s">
        <v>56</v>
      </c>
      <c r="B34" s="22">
        <v>10676772</v>
      </c>
      <c r="C34" s="20">
        <v>21249658</v>
      </c>
      <c r="D34" s="20">
        <v>9472504</v>
      </c>
      <c r="E34" s="18">
        <f>(C34+B34)/SUM(B$33:C$34)</f>
        <v>0.97423606606541269</v>
      </c>
      <c r="F34" s="18">
        <f>(D34)/SUM(D$33:D$34)</f>
        <v>0.98912851888391473</v>
      </c>
      <c r="G34" s="21">
        <f>J$34*F34</f>
        <v>0</v>
      </c>
      <c r="H34" s="20">
        <f>F34*K$34</f>
        <v>0.90679840661461208</v>
      </c>
      <c r="I34" s="3">
        <f>E34*(L$34)</f>
        <v>3.185636878754497E-2</v>
      </c>
      <c r="J34" s="23">
        <v>0</v>
      </c>
      <c r="K34" s="18">
        <v>0.91676500000000005</v>
      </c>
      <c r="L34" s="23">
        <v>3.2698818999999997E-2</v>
      </c>
      <c r="M34" s="19">
        <f t="shared" si="8"/>
        <v>0.9494638190000001</v>
      </c>
      <c r="N34" s="61">
        <v>87637582</v>
      </c>
      <c r="O34" s="66">
        <f t="shared" si="0"/>
        <v>0</v>
      </c>
      <c r="P34" s="66">
        <f t="shared" si="1"/>
        <v>10.34714087176221</v>
      </c>
      <c r="Q34" s="66">
        <f t="shared" si="2"/>
        <v>0.36350122927336093</v>
      </c>
      <c r="R34">
        <v>0</v>
      </c>
      <c r="S34" t="s">
        <v>209</v>
      </c>
      <c r="T34" t="s">
        <v>248</v>
      </c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</row>
    <row r="35" spans="1:99" s="12" customFormat="1" ht="19" x14ac:dyDescent="0.25">
      <c r="A35" s="12" t="s">
        <v>55</v>
      </c>
      <c r="B35" s="16">
        <v>29377</v>
      </c>
      <c r="C35" s="14">
        <v>6992190</v>
      </c>
      <c r="D35" s="14">
        <v>2937448</v>
      </c>
      <c r="E35" s="12">
        <f t="shared" ref="E35:E41" si="9">(B35+C35)/SUM(B$35:C$41)</f>
        <v>0.17997536066882169</v>
      </c>
      <c r="F35" s="12">
        <f t="shared" ref="F35:F41" si="10">D35/SUM(D$35:D$41)</f>
        <v>0.89929383901635873</v>
      </c>
      <c r="G35" s="15">
        <f t="shared" ref="G35:G41" si="11">J$35*F35</f>
        <v>0</v>
      </c>
      <c r="H35" s="14">
        <f t="shared" ref="H35:H41" si="12">F35*K$35</f>
        <v>3.4355560659050928E-3</v>
      </c>
      <c r="I35" s="3">
        <f t="shared" ref="I35:I41" si="13">E35*(L$39)</f>
        <v>3.1537314618212887E-2</v>
      </c>
      <c r="J35" s="52">
        <v>0</v>
      </c>
      <c r="K35" s="12">
        <v>3.8202819999999999E-3</v>
      </c>
      <c r="L35" s="52" t="s">
        <v>0</v>
      </c>
      <c r="M35" s="13">
        <f t="shared" si="8"/>
        <v>3.8202819999999999E-3</v>
      </c>
      <c r="N35" s="62">
        <v>20347659</v>
      </c>
      <c r="O35" s="66">
        <f t="shared" si="0"/>
        <v>0</v>
      </c>
      <c r="P35" s="66">
        <f t="shared" si="1"/>
        <v>0.16884281704863899</v>
      </c>
      <c r="Q35" s="66">
        <f t="shared" si="2"/>
        <v>1.5499234884078257</v>
      </c>
      <c r="R35">
        <v>0</v>
      </c>
      <c r="S35" t="s">
        <v>210</v>
      </c>
      <c r="T35" t="s">
        <v>249</v>
      </c>
    </row>
    <row r="36" spans="1:99" s="12" customFormat="1" ht="19" x14ac:dyDescent="0.25">
      <c r="A36" s="12" t="s">
        <v>54</v>
      </c>
      <c r="B36" s="17">
        <v>0</v>
      </c>
      <c r="C36" s="14">
        <v>639130</v>
      </c>
      <c r="D36" s="14">
        <v>1354</v>
      </c>
      <c r="E36" s="12">
        <f t="shared" si="9"/>
        <v>1.6382048660115899E-2</v>
      </c>
      <c r="F36" s="12">
        <f t="shared" si="10"/>
        <v>4.1452439601591233E-4</v>
      </c>
      <c r="G36" s="15">
        <f t="shared" si="11"/>
        <v>0</v>
      </c>
      <c r="H36" s="14">
        <f t="shared" si="12"/>
        <v>1.5836000886604615E-6</v>
      </c>
      <c r="I36" s="3">
        <f t="shared" si="13"/>
        <v>2.8706475195548809E-3</v>
      </c>
      <c r="M36" s="13">
        <f t="shared" si="8"/>
        <v>0</v>
      </c>
      <c r="N36" s="62">
        <v>2429301</v>
      </c>
      <c r="O36" s="66">
        <f t="shared" si="0"/>
        <v>0</v>
      </c>
      <c r="P36" s="66">
        <f t="shared" si="1"/>
        <v>6.518747938853446E-4</v>
      </c>
      <c r="Q36" s="66">
        <f t="shared" si="2"/>
        <v>1.1816763421061782</v>
      </c>
      <c r="R36">
        <v>0</v>
      </c>
      <c r="S36" t="s">
        <v>211</v>
      </c>
      <c r="T36" t="s">
        <v>250</v>
      </c>
    </row>
    <row r="37" spans="1:99" s="12" customFormat="1" ht="19" x14ac:dyDescent="0.25">
      <c r="A37" s="12" t="s">
        <v>53</v>
      </c>
      <c r="B37" s="17">
        <v>0</v>
      </c>
      <c r="C37" s="14">
        <v>62085</v>
      </c>
      <c r="D37" s="14">
        <v>8014</v>
      </c>
      <c r="E37" s="12">
        <f t="shared" si="9"/>
        <v>1.5913499461194054E-3</v>
      </c>
      <c r="F37" s="12">
        <f t="shared" si="10"/>
        <v>2.4534700957692182E-3</v>
      </c>
      <c r="G37" s="15">
        <f t="shared" si="11"/>
        <v>0</v>
      </c>
      <c r="H37" s="14">
        <f t="shared" si="12"/>
        <v>9.3729476444054206E-6</v>
      </c>
      <c r="I37" s="3">
        <f t="shared" si="13"/>
        <v>2.788543038999339E-4</v>
      </c>
      <c r="M37" s="13">
        <f t="shared" si="8"/>
        <v>0</v>
      </c>
      <c r="N37" s="62">
        <v>2499078</v>
      </c>
      <c r="O37" s="66">
        <f t="shared" si="0"/>
        <v>0</v>
      </c>
      <c r="P37" s="66">
        <f t="shared" si="1"/>
        <v>3.7505622651255468E-3</v>
      </c>
      <c r="Q37" s="66">
        <f t="shared" si="2"/>
        <v>0.11158287332365532</v>
      </c>
      <c r="R37">
        <v>0</v>
      </c>
      <c r="S37" t="s">
        <v>212</v>
      </c>
      <c r="T37" t="s">
        <v>251</v>
      </c>
    </row>
    <row r="38" spans="1:99" s="12" customFormat="1" ht="19" x14ac:dyDescent="0.25">
      <c r="A38" s="12" t="s">
        <v>52</v>
      </c>
      <c r="B38" s="17">
        <v>0</v>
      </c>
      <c r="C38" s="14">
        <v>3123</v>
      </c>
      <c r="D38" s="12">
        <v>282</v>
      </c>
      <c r="E38" s="12">
        <f t="shared" si="9"/>
        <v>8.0048093448190433E-5</v>
      </c>
      <c r="F38" s="12">
        <f t="shared" si="10"/>
        <v>8.6333736836401249E-5</v>
      </c>
      <c r="G38" s="15">
        <f t="shared" si="11"/>
        <v>0</v>
      </c>
      <c r="H38" s="14">
        <f t="shared" si="12"/>
        <v>3.2981922082884064E-7</v>
      </c>
      <c r="I38" s="3">
        <f t="shared" si="13"/>
        <v>1.4026930676966958E-5</v>
      </c>
      <c r="M38" s="13">
        <f t="shared" si="8"/>
        <v>0</v>
      </c>
      <c r="N38" s="62">
        <v>66599</v>
      </c>
      <c r="O38" s="66">
        <f t="shared" si="0"/>
        <v>0</v>
      </c>
      <c r="P38" s="66">
        <f t="shared" si="1"/>
        <v>4.9523149120683594E-3</v>
      </c>
      <c r="Q38" s="66">
        <f t="shared" si="2"/>
        <v>0.21061773715771945</v>
      </c>
      <c r="R38">
        <v>0</v>
      </c>
      <c r="S38" t="s">
        <v>213</v>
      </c>
      <c r="T38" t="s">
        <v>252</v>
      </c>
    </row>
    <row r="39" spans="1:99" s="12" customFormat="1" ht="19" x14ac:dyDescent="0.25">
      <c r="A39" s="12" t="s">
        <v>51</v>
      </c>
      <c r="B39" s="16">
        <v>130848</v>
      </c>
      <c r="C39" s="14">
        <v>10779319</v>
      </c>
      <c r="D39" s="14">
        <v>78103</v>
      </c>
      <c r="E39" s="12">
        <f t="shared" si="9"/>
        <v>0.27964715579614585</v>
      </c>
      <c r="F39" s="12">
        <f t="shared" si="10"/>
        <v>2.3911077475650518E-2</v>
      </c>
      <c r="G39" s="15">
        <f t="shared" si="11"/>
        <v>0</v>
      </c>
      <c r="H39" s="14">
        <f t="shared" si="12"/>
        <v>9.1347058880833116E-5</v>
      </c>
      <c r="I39" s="3">
        <f t="shared" si="13"/>
        <v>4.900293185498962E-2</v>
      </c>
      <c r="J39" s="52">
        <v>0</v>
      </c>
      <c r="K39" s="52" t="s">
        <v>0</v>
      </c>
      <c r="L39" s="12">
        <v>0.17523129000000001</v>
      </c>
      <c r="M39" s="13">
        <f t="shared" si="8"/>
        <v>0.17523129000000001</v>
      </c>
      <c r="N39" s="62">
        <v>241243474</v>
      </c>
      <c r="O39" s="66">
        <f t="shared" si="0"/>
        <v>0</v>
      </c>
      <c r="P39" s="66">
        <f t="shared" si="1"/>
        <v>3.7865090137457195E-4</v>
      </c>
      <c r="Q39" s="66">
        <f t="shared" si="2"/>
        <v>0.20312645578545108</v>
      </c>
      <c r="R39">
        <v>0</v>
      </c>
      <c r="S39" t="s">
        <v>214</v>
      </c>
      <c r="T39" t="s">
        <v>253</v>
      </c>
    </row>
    <row r="40" spans="1:99" s="12" customFormat="1" ht="19" x14ac:dyDescent="0.25">
      <c r="A40" s="12" t="s">
        <v>50</v>
      </c>
      <c r="B40" s="16">
        <v>47243</v>
      </c>
      <c r="C40" s="14">
        <v>15251211</v>
      </c>
      <c r="D40" s="14">
        <v>28401</v>
      </c>
      <c r="E40" s="12">
        <f t="shared" si="9"/>
        <v>0.39212682529774018</v>
      </c>
      <c r="F40" s="12">
        <f t="shared" si="10"/>
        <v>8.6949094322362822E-3</v>
      </c>
      <c r="G40" s="15">
        <f t="shared" si="11"/>
        <v>0</v>
      </c>
      <c r="H40" s="14">
        <f t="shared" si="12"/>
        <v>3.321700599560249E-5</v>
      </c>
      <c r="I40" s="3">
        <f t="shared" si="13"/>
        <v>6.8712889440527655E-2</v>
      </c>
      <c r="M40" s="13">
        <f t="shared" si="8"/>
        <v>0</v>
      </c>
      <c r="N40" s="62">
        <v>56912676</v>
      </c>
      <c r="O40" s="66">
        <f t="shared" si="0"/>
        <v>0</v>
      </c>
      <c r="P40" s="66">
        <f t="shared" si="1"/>
        <v>5.8364864086873176E-4</v>
      </c>
      <c r="Q40" s="66">
        <f t="shared" si="2"/>
        <v>1.2073389316736338</v>
      </c>
      <c r="R40">
        <v>0</v>
      </c>
      <c r="S40" t="s">
        <v>215</v>
      </c>
      <c r="T40" t="s">
        <v>254</v>
      </c>
    </row>
    <row r="41" spans="1:99" s="12" customFormat="1" ht="19" x14ac:dyDescent="0.25">
      <c r="A41" s="12" t="s">
        <v>49</v>
      </c>
      <c r="B41" s="16">
        <v>259780</v>
      </c>
      <c r="C41" s="14">
        <v>4819740</v>
      </c>
      <c r="D41" s="14">
        <v>212792</v>
      </c>
      <c r="E41" s="12">
        <f t="shared" si="9"/>
        <v>0.1301972115376088</v>
      </c>
      <c r="F41" s="12">
        <f t="shared" si="10"/>
        <v>6.5145845847132955E-2</v>
      </c>
      <c r="G41" s="15">
        <f t="shared" si="11"/>
        <v>0</v>
      </c>
      <c r="H41" s="14">
        <f t="shared" si="12"/>
        <v>2.4887550226457679E-4</v>
      </c>
      <c r="I41" s="3">
        <f t="shared" si="13"/>
        <v>2.2814625332138076E-2</v>
      </c>
      <c r="M41" s="13">
        <f t="shared" si="8"/>
        <v>0</v>
      </c>
      <c r="N41" s="62">
        <v>152827208</v>
      </c>
      <c r="O41" s="66">
        <f t="shared" si="0"/>
        <v>0</v>
      </c>
      <c r="P41" s="66">
        <f t="shared" si="1"/>
        <v>1.6284764049643359E-3</v>
      </c>
      <c r="Q41" s="66">
        <f t="shared" si="2"/>
        <v>0.14928379331603098</v>
      </c>
      <c r="R41">
        <v>0</v>
      </c>
      <c r="S41" t="s">
        <v>216</v>
      </c>
      <c r="T41" t="s">
        <v>255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</row>
    <row r="42" spans="1:99" s="6" customFormat="1" ht="19" x14ac:dyDescent="0.25">
      <c r="A42" s="6" t="s">
        <v>48</v>
      </c>
      <c r="B42" s="9">
        <v>0</v>
      </c>
      <c r="C42" s="7">
        <v>20992408</v>
      </c>
      <c r="D42" s="7">
        <v>1532114</v>
      </c>
      <c r="E42" s="6">
        <f t="shared" ref="E42:E87" si="14">(B42+C42)/SUM(B$42:C$87)</f>
        <v>0.20664164971879434</v>
      </c>
      <c r="F42" s="6">
        <f t="shared" ref="F42:F87" si="15">D42/SUM(D$42:D$87)</f>
        <v>5.0179427232012672E-2</v>
      </c>
      <c r="G42" s="8">
        <f t="shared" ref="G42:G87" si="16">J$45*F42</f>
        <v>8.9972716615543363E-6</v>
      </c>
      <c r="H42" s="7">
        <v>0</v>
      </c>
      <c r="I42" s="3">
        <f>E42*(L45+L46+L47)</f>
        <v>0.56366992225760704</v>
      </c>
      <c r="M42" s="11">
        <f t="shared" si="8"/>
        <v>0</v>
      </c>
      <c r="N42" s="63">
        <v>169631432</v>
      </c>
      <c r="O42" s="66">
        <f>(G42/N42)*10^9</f>
        <v>5.3040120899022632E-5</v>
      </c>
      <c r="P42" s="66">
        <f t="shared" si="1"/>
        <v>0</v>
      </c>
      <c r="Q42" s="66">
        <f t="shared" si="2"/>
        <v>3.3229096495371628</v>
      </c>
      <c r="R42" t="s">
        <v>105</v>
      </c>
      <c r="S42">
        <v>0</v>
      </c>
      <c r="T42" t="s">
        <v>256</v>
      </c>
    </row>
    <row r="43" spans="1:99" s="6" customFormat="1" ht="19" x14ac:dyDescent="0.25">
      <c r="A43" s="6" t="s">
        <v>47</v>
      </c>
      <c r="B43" s="9">
        <v>0</v>
      </c>
      <c r="C43" s="7">
        <v>12070293</v>
      </c>
      <c r="D43" s="7">
        <v>2694532</v>
      </c>
      <c r="E43" s="6">
        <f t="shared" si="14"/>
        <v>0.11881558600181626</v>
      </c>
      <c r="F43" s="6">
        <f t="shared" si="15"/>
        <v>8.8250660471955455E-2</v>
      </c>
      <c r="G43" s="8">
        <f t="shared" si="16"/>
        <v>1.5823519923942557E-5</v>
      </c>
      <c r="H43" s="7">
        <v>0</v>
      </c>
      <c r="I43" s="3">
        <f t="shared" ref="I43:I85" si="17">E43*(SUM(L$45:L$47))</f>
        <v>0.32410103295136694</v>
      </c>
      <c r="M43" s="11">
        <f t="shared" si="8"/>
        <v>0</v>
      </c>
      <c r="N43" s="63">
        <v>262196732</v>
      </c>
      <c r="O43" s="66">
        <f t="shared" si="0"/>
        <v>6.0349798425186156E-5</v>
      </c>
      <c r="P43" s="66">
        <f t="shared" si="1"/>
        <v>0</v>
      </c>
      <c r="Q43" s="66">
        <f t="shared" si="2"/>
        <v>1.2360986747591001</v>
      </c>
      <c r="R43" t="s">
        <v>106</v>
      </c>
      <c r="S43">
        <v>0</v>
      </c>
      <c r="T43" t="s">
        <v>257</v>
      </c>
    </row>
    <row r="44" spans="1:99" s="6" customFormat="1" ht="19" x14ac:dyDescent="0.25">
      <c r="A44" s="6" t="s">
        <v>46</v>
      </c>
      <c r="B44" s="9">
        <v>0</v>
      </c>
      <c r="C44" s="7">
        <v>12082890</v>
      </c>
      <c r="D44" s="7">
        <v>4221352</v>
      </c>
      <c r="E44" s="6">
        <f t="shared" si="14"/>
        <v>0.1189395863004722</v>
      </c>
      <c r="F44" s="6">
        <f t="shared" si="15"/>
        <v>0.13825669989616382</v>
      </c>
      <c r="G44" s="8">
        <f t="shared" si="16"/>
        <v>2.4789702804781964E-5</v>
      </c>
      <c r="H44" s="7">
        <v>0</v>
      </c>
      <c r="I44" s="3">
        <f t="shared" si="17"/>
        <v>0.32443927666360228</v>
      </c>
      <c r="M44" s="11">
        <f t="shared" si="8"/>
        <v>0</v>
      </c>
      <c r="N44" s="63">
        <v>287803330</v>
      </c>
      <c r="O44" s="66">
        <f t="shared" si="0"/>
        <v>8.6134176434935495E-5</v>
      </c>
      <c r="P44" s="66">
        <f t="shared" si="1"/>
        <v>0</v>
      </c>
      <c r="Q44" s="66">
        <f t="shared" si="2"/>
        <v>1.1272950756462836</v>
      </c>
      <c r="R44" t="s">
        <v>135</v>
      </c>
      <c r="S44">
        <v>0</v>
      </c>
      <c r="T44" t="s">
        <v>258</v>
      </c>
    </row>
    <row r="45" spans="1:99" s="6" customFormat="1" ht="19" x14ac:dyDescent="0.25">
      <c r="A45" s="6" t="s">
        <v>45</v>
      </c>
      <c r="B45" s="9">
        <v>0</v>
      </c>
      <c r="C45" s="7">
        <v>14386355</v>
      </c>
      <c r="D45" s="7">
        <v>193716</v>
      </c>
      <c r="E45" s="6">
        <f t="shared" si="14"/>
        <v>0.14161406021835254</v>
      </c>
      <c r="F45" s="6">
        <f t="shared" si="15"/>
        <v>6.3445395875741401E-3</v>
      </c>
      <c r="G45" s="8">
        <f t="shared" si="16"/>
        <v>1.1375886371312184E-6</v>
      </c>
      <c r="H45" s="7">
        <v>0</v>
      </c>
      <c r="I45" s="3">
        <f t="shared" si="17"/>
        <v>0.38628991988057471</v>
      </c>
      <c r="J45" s="53">
        <v>1.79302E-4</v>
      </c>
      <c r="K45" s="57">
        <v>0</v>
      </c>
      <c r="L45" s="57">
        <v>2.3698376830000001</v>
      </c>
      <c r="M45" s="11">
        <f t="shared" si="8"/>
        <v>2.3700169849999999</v>
      </c>
      <c r="N45" s="63">
        <v>58976634</v>
      </c>
      <c r="O45" s="66">
        <f t="shared" si="0"/>
        <v>1.9288802360799674E-5</v>
      </c>
      <c r="P45" s="66">
        <f t="shared" si="1"/>
        <v>0</v>
      </c>
      <c r="Q45" s="66">
        <f t="shared" si="2"/>
        <v>6.5498807524446834</v>
      </c>
      <c r="R45" t="s">
        <v>136</v>
      </c>
      <c r="S45">
        <v>0</v>
      </c>
      <c r="T45" t="s">
        <v>259</v>
      </c>
    </row>
    <row r="46" spans="1:99" s="6" customFormat="1" ht="19" x14ac:dyDescent="0.25">
      <c r="A46" s="6" t="s">
        <v>44</v>
      </c>
      <c r="B46" s="9">
        <v>0</v>
      </c>
      <c r="C46" s="7">
        <v>2031781</v>
      </c>
      <c r="D46" s="7">
        <v>5363</v>
      </c>
      <c r="E46" s="6">
        <f t="shared" si="14"/>
        <v>2.0000115170556027E-2</v>
      </c>
      <c r="F46" s="6">
        <f t="shared" si="15"/>
        <v>1.7564767911871045E-4</v>
      </c>
      <c r="G46" s="8">
        <f t="shared" si="16"/>
        <v>3.1493980161343019E-8</v>
      </c>
      <c r="H46" s="7">
        <v>0</v>
      </c>
      <c r="I46" s="3">
        <f t="shared" si="17"/>
        <v>5.4555620218246663E-2</v>
      </c>
      <c r="J46" s="54">
        <v>0</v>
      </c>
      <c r="K46" s="54">
        <v>0</v>
      </c>
      <c r="L46" s="6">
        <v>0.20258161999999999</v>
      </c>
      <c r="N46" s="63">
        <v>7680266</v>
      </c>
      <c r="O46" s="66">
        <f t="shared" si="0"/>
        <v>4.1006366395829287E-6</v>
      </c>
      <c r="P46" s="66">
        <f t="shared" si="1"/>
        <v>0</v>
      </c>
      <c r="Q46" s="66">
        <f t="shared" si="2"/>
        <v>7.1033503550849231</v>
      </c>
      <c r="R46" s="69" t="s">
        <v>137</v>
      </c>
      <c r="S46">
        <v>0</v>
      </c>
      <c r="T46" t="s">
        <v>260</v>
      </c>
    </row>
    <row r="47" spans="1:99" s="6" customFormat="1" ht="19" x14ac:dyDescent="0.25">
      <c r="A47" s="6" t="s">
        <v>43</v>
      </c>
      <c r="B47" s="9">
        <v>0</v>
      </c>
      <c r="C47" s="7">
        <v>8614452</v>
      </c>
      <c r="D47" s="7">
        <v>8070</v>
      </c>
      <c r="E47" s="6">
        <f t="shared" si="14"/>
        <v>8.4797540744414243E-2</v>
      </c>
      <c r="F47" s="6">
        <f t="shared" si="15"/>
        <v>2.6430668851165271E-4</v>
      </c>
      <c r="G47" s="8">
        <f t="shared" si="16"/>
        <v>4.739071786351635E-8</v>
      </c>
      <c r="H47" s="7">
        <v>0</v>
      </c>
      <c r="I47" s="3">
        <f t="shared" si="17"/>
        <v>0.23130778942234201</v>
      </c>
      <c r="J47" s="54">
        <v>0</v>
      </c>
      <c r="K47" s="54">
        <v>0</v>
      </c>
      <c r="L47" s="6">
        <v>0.15534600000000001</v>
      </c>
      <c r="N47" s="63">
        <v>29458392</v>
      </c>
      <c r="O47" s="66">
        <f t="shared" si="0"/>
        <v>1.6087340362473399E-6</v>
      </c>
      <c r="P47" s="66">
        <f t="shared" si="1"/>
        <v>0</v>
      </c>
      <c r="Q47" s="66">
        <f t="shared" si="2"/>
        <v>7.8520168182411991</v>
      </c>
      <c r="R47" t="s">
        <v>138</v>
      </c>
      <c r="S47">
        <v>0</v>
      </c>
      <c r="T47" t="s">
        <v>261</v>
      </c>
    </row>
    <row r="48" spans="1:99" s="6" customFormat="1" ht="19" x14ac:dyDescent="0.25">
      <c r="A48" s="6" t="s">
        <v>42</v>
      </c>
      <c r="B48" s="9">
        <v>0</v>
      </c>
      <c r="C48" s="7">
        <v>5203291</v>
      </c>
      <c r="D48" s="7">
        <v>815494</v>
      </c>
      <c r="E48" s="6">
        <f t="shared" si="14"/>
        <v>5.1219309200114402E-2</v>
      </c>
      <c r="F48" s="6">
        <f t="shared" si="15"/>
        <v>2.6708862285145192E-2</v>
      </c>
      <c r="G48" s="8">
        <f t="shared" si="16"/>
        <v>4.7889524254511034E-6</v>
      </c>
      <c r="H48" s="7">
        <v>0</v>
      </c>
      <c r="I48" s="3">
        <f t="shared" si="17"/>
        <v>0.13971425447970076</v>
      </c>
      <c r="N48" s="63">
        <v>48124910</v>
      </c>
      <c r="O48" s="66">
        <f t="shared" si="0"/>
        <v>9.9510885847913348E-5</v>
      </c>
      <c r="P48" s="66">
        <f t="shared" si="1"/>
        <v>0</v>
      </c>
      <c r="Q48" s="66">
        <f t="shared" si="2"/>
        <v>2.9031587691218697</v>
      </c>
      <c r="R48" t="s">
        <v>139</v>
      </c>
      <c r="S48">
        <v>0</v>
      </c>
      <c r="T48" t="s">
        <v>262</v>
      </c>
    </row>
    <row r="49" spans="1:20" s="6" customFormat="1" ht="19" x14ac:dyDescent="0.25">
      <c r="A49" s="6" t="s">
        <v>41</v>
      </c>
      <c r="B49" s="9">
        <v>0</v>
      </c>
      <c r="C49" s="7">
        <v>337693</v>
      </c>
      <c r="D49" s="7">
        <v>48525</v>
      </c>
      <c r="E49" s="6">
        <f t="shared" si="14"/>
        <v>3.3241273997003497E-3</v>
      </c>
      <c r="F49" s="6">
        <f t="shared" si="15"/>
        <v>1.5892790656788038E-3</v>
      </c>
      <c r="G49" s="8">
        <f t="shared" si="16"/>
        <v>2.849609150343409E-7</v>
      </c>
      <c r="H49" s="7">
        <v>0</v>
      </c>
      <c r="I49" s="3">
        <f t="shared" si="17"/>
        <v>9.0674393836542282E-3</v>
      </c>
      <c r="N49" s="63">
        <v>5886272</v>
      </c>
      <c r="O49" s="66">
        <f t="shared" si="0"/>
        <v>4.8411102143146102E-5</v>
      </c>
      <c r="P49" s="66">
        <f t="shared" si="1"/>
        <v>0</v>
      </c>
      <c r="Q49" s="66">
        <f t="shared" si="2"/>
        <v>1.5404383935459027</v>
      </c>
      <c r="R49" t="s">
        <v>140</v>
      </c>
      <c r="S49">
        <v>0</v>
      </c>
      <c r="T49" t="s">
        <v>263</v>
      </c>
    </row>
    <row r="50" spans="1:20" s="6" customFormat="1" ht="19" x14ac:dyDescent="0.25">
      <c r="A50" s="6" t="s">
        <v>40</v>
      </c>
      <c r="B50" s="9">
        <v>0</v>
      </c>
      <c r="C50" s="7">
        <v>1069585</v>
      </c>
      <c r="D50" s="7">
        <v>237675</v>
      </c>
      <c r="E50" s="6">
        <f t="shared" si="14"/>
        <v>1.0528606766526101E-2</v>
      </c>
      <c r="F50" s="6">
        <f t="shared" si="15"/>
        <v>7.7842741254035997E-3</v>
      </c>
      <c r="G50" s="8">
        <f t="shared" si="16"/>
        <v>1.3957359192331162E-6</v>
      </c>
      <c r="H50" s="7">
        <v>0</v>
      </c>
      <c r="I50" s="3">
        <f t="shared" si="17"/>
        <v>2.8719568226660924E-2</v>
      </c>
      <c r="N50" s="63">
        <v>57638924</v>
      </c>
      <c r="O50" s="66">
        <f t="shared" si="0"/>
        <v>2.4215162643097155E-5</v>
      </c>
      <c r="P50" s="66">
        <f t="shared" si="1"/>
        <v>0</v>
      </c>
      <c r="Q50" s="66">
        <f t="shared" si="2"/>
        <v>0.49826690426526565</v>
      </c>
      <c r="R50" t="s">
        <v>141</v>
      </c>
      <c r="S50">
        <v>0</v>
      </c>
      <c r="T50" t="s">
        <v>264</v>
      </c>
    </row>
    <row r="51" spans="1:20" s="6" customFormat="1" ht="19" x14ac:dyDescent="0.25">
      <c r="A51" s="6" t="s">
        <v>39</v>
      </c>
      <c r="B51" s="9">
        <v>0</v>
      </c>
      <c r="C51" s="7">
        <v>284767</v>
      </c>
      <c r="D51" s="7">
        <v>18010</v>
      </c>
      <c r="E51" s="6">
        <f t="shared" si="14"/>
        <v>2.8031430536921689E-3</v>
      </c>
      <c r="F51" s="6">
        <f t="shared" si="15"/>
        <v>5.8985916481968587E-4</v>
      </c>
      <c r="G51" s="8">
        <f t="shared" si="16"/>
        <v>1.0576292797049932E-7</v>
      </c>
      <c r="H51" s="7">
        <v>0</v>
      </c>
      <c r="I51" s="3">
        <f t="shared" si="17"/>
        <v>7.6463163612069656E-3</v>
      </c>
      <c r="N51" s="63">
        <v>63798955</v>
      </c>
      <c r="O51" s="66">
        <f t="shared" si="0"/>
        <v>1.6577532965939539E-6</v>
      </c>
      <c r="P51" s="66">
        <f t="shared" si="1"/>
        <v>0</v>
      </c>
      <c r="Q51" s="66">
        <f t="shared" si="2"/>
        <v>0.11985018189101947</v>
      </c>
      <c r="R51" s="69" t="s">
        <v>142</v>
      </c>
      <c r="S51">
        <v>0</v>
      </c>
      <c r="T51" t="s">
        <v>265</v>
      </c>
    </row>
    <row r="52" spans="1:20" s="6" customFormat="1" ht="19" x14ac:dyDescent="0.25">
      <c r="A52" s="6" t="s">
        <v>38</v>
      </c>
      <c r="B52" s="9">
        <v>0</v>
      </c>
      <c r="C52" s="7">
        <v>271880</v>
      </c>
      <c r="D52" s="7">
        <v>4463</v>
      </c>
      <c r="E52" s="6">
        <f t="shared" si="14"/>
        <v>2.6762881002287023E-3</v>
      </c>
      <c r="F52" s="6">
        <f t="shared" si="15"/>
        <v>1.4617109675681611E-4</v>
      </c>
      <c r="G52" s="8">
        <f t="shared" si="16"/>
        <v>2.6208769990690641E-8</v>
      </c>
      <c r="H52" s="7">
        <v>0</v>
      </c>
      <c r="I52" s="3">
        <f t="shared" si="17"/>
        <v>7.3002858206356411E-3</v>
      </c>
      <c r="N52" s="63">
        <v>7183737</v>
      </c>
      <c r="O52" s="66">
        <f t="shared" si="0"/>
        <v>3.6483476484023063E-6</v>
      </c>
      <c r="P52" s="66">
        <f t="shared" si="1"/>
        <v>0</v>
      </c>
      <c r="Q52" s="66">
        <f t="shared" si="2"/>
        <v>1.016223982119006</v>
      </c>
      <c r="R52" t="s">
        <v>143</v>
      </c>
      <c r="S52">
        <v>0</v>
      </c>
      <c r="T52" t="s">
        <v>266</v>
      </c>
    </row>
    <row r="53" spans="1:20" s="6" customFormat="1" ht="19" x14ac:dyDescent="0.25">
      <c r="A53" s="6" t="s">
        <v>37</v>
      </c>
      <c r="B53" s="9">
        <v>0</v>
      </c>
      <c r="C53" s="7">
        <v>2987</v>
      </c>
      <c r="D53" s="6">
        <v>585</v>
      </c>
      <c r="E53" s="6">
        <f t="shared" si="14"/>
        <v>2.9402944517372125E-5</v>
      </c>
      <c r="F53" s="6">
        <f t="shared" si="15"/>
        <v>1.9159778535231329E-5</v>
      </c>
      <c r="G53" s="8">
        <f t="shared" si="16"/>
        <v>3.4353866109240477E-9</v>
      </c>
      <c r="H53" s="7">
        <v>0</v>
      </c>
      <c r="I53" s="3">
        <f t="shared" si="17"/>
        <v>8.0204331860521776E-5</v>
      </c>
      <c r="N53" s="63">
        <v>273235</v>
      </c>
      <c r="O53" s="66">
        <f t="shared" si="0"/>
        <v>1.2573010818248203E-5</v>
      </c>
      <c r="P53" s="66">
        <f t="shared" si="1"/>
        <v>0</v>
      </c>
      <c r="Q53" s="66">
        <f t="shared" si="2"/>
        <v>0.29353608381254881</v>
      </c>
      <c r="R53" t="s">
        <v>144</v>
      </c>
      <c r="S53">
        <v>0</v>
      </c>
      <c r="T53" t="s">
        <v>267</v>
      </c>
    </row>
    <row r="54" spans="1:20" s="6" customFormat="1" ht="19" x14ac:dyDescent="0.25">
      <c r="A54" s="6" t="s">
        <v>36</v>
      </c>
      <c r="B54" s="9">
        <v>0</v>
      </c>
      <c r="C54" s="7">
        <v>17028</v>
      </c>
      <c r="D54" s="7">
        <v>15518</v>
      </c>
      <c r="E54" s="6">
        <f t="shared" si="14"/>
        <v>1.6761745538728241E-4</v>
      </c>
      <c r="F54" s="6">
        <f t="shared" si="15"/>
        <v>5.0824178343541841E-4</v>
      </c>
      <c r="G54" s="8">
        <f t="shared" si="16"/>
        <v>9.1128768253537396E-8</v>
      </c>
      <c r="H54" s="7">
        <v>0</v>
      </c>
      <c r="I54" s="3">
        <f t="shared" si="17"/>
        <v>4.5722107898257949E-4</v>
      </c>
      <c r="N54" s="63">
        <v>2486383</v>
      </c>
      <c r="O54" s="66">
        <f t="shared" si="0"/>
        <v>3.665113872381584E-5</v>
      </c>
      <c r="P54" s="66">
        <f t="shared" si="1"/>
        <v>0</v>
      </c>
      <c r="Q54" s="66">
        <f t="shared" si="2"/>
        <v>0.1838900438840595</v>
      </c>
      <c r="R54" t="s">
        <v>145</v>
      </c>
      <c r="S54">
        <v>0</v>
      </c>
      <c r="T54" t="s">
        <v>268</v>
      </c>
    </row>
    <row r="55" spans="1:20" s="6" customFormat="1" ht="19" x14ac:dyDescent="0.25">
      <c r="A55" s="6" t="s">
        <v>35</v>
      </c>
      <c r="B55" s="9">
        <v>0</v>
      </c>
      <c r="C55" s="7">
        <v>5869209</v>
      </c>
      <c r="D55" s="7">
        <v>201313</v>
      </c>
      <c r="E55" s="6">
        <f t="shared" si="14"/>
        <v>5.7774364441868474E-2</v>
      </c>
      <c r="F55" s="6">
        <f t="shared" si="15"/>
        <v>6.5933546944667082E-3</v>
      </c>
      <c r="G55" s="8">
        <f t="shared" si="16"/>
        <v>1.1822016834272696E-6</v>
      </c>
      <c r="H55" s="7">
        <v>0</v>
      </c>
      <c r="I55" s="3">
        <f t="shared" si="17"/>
        <v>0.15759490672740581</v>
      </c>
      <c r="N55" s="63">
        <v>138097699</v>
      </c>
      <c r="O55" s="66">
        <f t="shared" si="0"/>
        <v>8.5606182578557636E-6</v>
      </c>
      <c r="P55" s="66">
        <f t="shared" si="1"/>
        <v>0</v>
      </c>
      <c r="Q55" s="66">
        <f t="shared" si="2"/>
        <v>1.141184160696304</v>
      </c>
      <c r="R55" t="s">
        <v>146</v>
      </c>
      <c r="S55">
        <v>0</v>
      </c>
      <c r="T55" t="s">
        <v>269</v>
      </c>
    </row>
    <row r="56" spans="1:20" s="6" customFormat="1" ht="19" x14ac:dyDescent="0.25">
      <c r="A56" s="6" t="s">
        <v>34</v>
      </c>
      <c r="B56" s="9">
        <v>0</v>
      </c>
      <c r="C56" s="7">
        <v>250668</v>
      </c>
      <c r="D56" s="7">
        <v>6210</v>
      </c>
      <c r="E56" s="6">
        <f t="shared" si="14"/>
        <v>2.4674848665151108E-3</v>
      </c>
      <c r="F56" s="6">
        <f t="shared" si="15"/>
        <v>2.0338841829707101E-4</v>
      </c>
      <c r="G56" s="8">
        <f t="shared" si="16"/>
        <v>3.6467950177501429E-8</v>
      </c>
      <c r="H56" s="7">
        <v>0</v>
      </c>
      <c r="I56" s="3">
        <f t="shared" si="17"/>
        <v>6.7307196045575069E-3</v>
      </c>
      <c r="N56" s="63">
        <v>23091534</v>
      </c>
      <c r="O56" s="66">
        <f t="shared" si="0"/>
        <v>1.5792779369920347E-6</v>
      </c>
      <c r="P56" s="66">
        <f t="shared" si="1"/>
        <v>0</v>
      </c>
      <c r="Q56" s="66">
        <f t="shared" si="2"/>
        <v>0.29147996857019148</v>
      </c>
      <c r="R56" t="s">
        <v>147</v>
      </c>
      <c r="S56">
        <v>0</v>
      </c>
      <c r="T56" t="s">
        <v>270</v>
      </c>
    </row>
    <row r="57" spans="1:20" s="6" customFormat="1" ht="19" x14ac:dyDescent="0.25">
      <c r="A57" s="6" t="s">
        <v>33</v>
      </c>
      <c r="B57" s="9">
        <v>0</v>
      </c>
      <c r="C57" s="7">
        <v>701484</v>
      </c>
      <c r="D57" s="7">
        <v>19234</v>
      </c>
      <c r="E57" s="6">
        <f t="shared" si="14"/>
        <v>6.9051540448022324E-3</v>
      </c>
      <c r="F57" s="6">
        <f t="shared" si="15"/>
        <v>6.2994731683186213E-4</v>
      </c>
      <c r="G57" s="8">
        <f t="shared" si="16"/>
        <v>1.1295081380258655E-7</v>
      </c>
      <c r="H57" s="7">
        <v>0</v>
      </c>
      <c r="I57" s="3">
        <f t="shared" si="17"/>
        <v>1.8835639615281639E-2</v>
      </c>
      <c r="N57" s="63">
        <v>12641599</v>
      </c>
      <c r="O57" s="66">
        <f t="shared" si="0"/>
        <v>8.9348518176052379E-6</v>
      </c>
      <c r="P57" s="66">
        <f t="shared" si="1"/>
        <v>0</v>
      </c>
      <c r="Q57" s="66">
        <f t="shared" si="2"/>
        <v>1.489972875684606</v>
      </c>
      <c r="R57" t="s">
        <v>148</v>
      </c>
      <c r="S57">
        <v>0</v>
      </c>
      <c r="T57" t="s">
        <v>271</v>
      </c>
    </row>
    <row r="58" spans="1:20" s="6" customFormat="1" ht="19" x14ac:dyDescent="0.25">
      <c r="A58" s="6" t="s">
        <v>32</v>
      </c>
      <c r="B58" s="9">
        <v>0</v>
      </c>
      <c r="C58" s="7">
        <v>234361</v>
      </c>
      <c r="D58" s="7">
        <v>8859</v>
      </c>
      <c r="E58" s="6">
        <f t="shared" si="14"/>
        <v>2.3069646735975387E-3</v>
      </c>
      <c r="F58" s="6">
        <f t="shared" si="15"/>
        <v>2.9014782571558004E-4</v>
      </c>
      <c r="G58" s="8">
        <f t="shared" si="16"/>
        <v>5.2024085446454934E-8</v>
      </c>
      <c r="H58" s="7">
        <v>0</v>
      </c>
      <c r="I58" s="3">
        <f t="shared" si="17"/>
        <v>6.292858191886087E-3</v>
      </c>
      <c r="N58" s="63">
        <v>108314035</v>
      </c>
      <c r="O58" s="66">
        <f t="shared" si="0"/>
        <v>4.803078885063689E-7</v>
      </c>
      <c r="P58" s="66">
        <f t="shared" si="1"/>
        <v>0</v>
      </c>
      <c r="Q58" s="66">
        <f t="shared" si="2"/>
        <v>5.8098271307925026E-2</v>
      </c>
      <c r="R58" t="s">
        <v>149</v>
      </c>
      <c r="S58">
        <v>0</v>
      </c>
      <c r="T58" t="s">
        <v>272</v>
      </c>
    </row>
    <row r="59" spans="1:20" s="6" customFormat="1" ht="19" x14ac:dyDescent="0.25">
      <c r="A59" s="6" t="s">
        <v>31</v>
      </c>
      <c r="B59" s="9">
        <v>0</v>
      </c>
      <c r="C59" s="7">
        <v>28141</v>
      </c>
      <c r="D59" s="6">
        <v>410</v>
      </c>
      <c r="E59" s="6">
        <f t="shared" si="14"/>
        <v>2.7700979633859022E-4</v>
      </c>
      <c r="F59" s="6">
        <f t="shared" si="15"/>
        <v>1.3428220853751871E-5</v>
      </c>
      <c r="G59" s="8">
        <f t="shared" si="16"/>
        <v>2.407706855519418E-9</v>
      </c>
      <c r="H59" s="7">
        <v>0</v>
      </c>
      <c r="I59" s="3">
        <f t="shared" si="17"/>
        <v>7.5561771104350293E-4</v>
      </c>
      <c r="N59" s="63">
        <v>19533188</v>
      </c>
      <c r="O59" s="66">
        <f t="shared" si="0"/>
        <v>1.2326236022094388E-7</v>
      </c>
      <c r="P59" s="66">
        <f t="shared" si="1"/>
        <v>0</v>
      </c>
      <c r="Q59" s="66">
        <f t="shared" si="2"/>
        <v>3.8683788383314745E-2</v>
      </c>
      <c r="R59" t="s">
        <v>150</v>
      </c>
      <c r="S59">
        <v>0</v>
      </c>
      <c r="T59" t="s">
        <v>273</v>
      </c>
    </row>
    <row r="60" spans="1:20" s="6" customFormat="1" ht="19" x14ac:dyDescent="0.25">
      <c r="A60" s="6" t="s">
        <v>30</v>
      </c>
      <c r="B60" s="9">
        <v>0</v>
      </c>
      <c r="C60" s="7">
        <v>11833</v>
      </c>
      <c r="D60" s="6">
        <v>347</v>
      </c>
      <c r="E60" s="6">
        <f t="shared" si="14"/>
        <v>1.1647975978375104E-4</v>
      </c>
      <c r="F60" s="6">
        <f t="shared" si="15"/>
        <v>1.1364860088419266E-5</v>
      </c>
      <c r="G60" s="8">
        <f t="shared" si="16"/>
        <v>2.0377421435737512E-9</v>
      </c>
      <c r="H60" s="7">
        <v>0</v>
      </c>
      <c r="I60" s="3">
        <f t="shared" si="17"/>
        <v>3.1772944723989095E-4</v>
      </c>
      <c r="N60" s="63">
        <v>2067169</v>
      </c>
      <c r="O60" s="66">
        <f t="shared" si="0"/>
        <v>9.8576465860979497E-7</v>
      </c>
      <c r="P60" s="66">
        <f t="shared" si="1"/>
        <v>0</v>
      </c>
      <c r="Q60" s="66">
        <f t="shared" si="2"/>
        <v>0.15370269544478024</v>
      </c>
      <c r="R60" t="s">
        <v>151</v>
      </c>
      <c r="S60">
        <v>0</v>
      </c>
      <c r="T60" t="s">
        <v>274</v>
      </c>
    </row>
    <row r="61" spans="1:20" s="6" customFormat="1" ht="19" x14ac:dyDescent="0.25">
      <c r="A61" s="6" t="s">
        <v>29</v>
      </c>
      <c r="B61" s="10">
        <v>51804</v>
      </c>
      <c r="C61" s="7">
        <v>270665</v>
      </c>
      <c r="D61" s="7">
        <v>982175</v>
      </c>
      <c r="E61" s="6">
        <f t="shared" si="14"/>
        <v>3.1742678659432448E-3</v>
      </c>
      <c r="F61" s="6">
        <f t="shared" si="15"/>
        <v>3.2167958090326208E-2</v>
      </c>
      <c r="G61" s="8">
        <f t="shared" si="16"/>
        <v>5.7677792215116697E-6</v>
      </c>
      <c r="H61" s="7">
        <v>0</v>
      </c>
      <c r="I61" s="3">
        <f t="shared" si="17"/>
        <v>8.6586577471478403E-3</v>
      </c>
      <c r="N61" s="63">
        <v>240566225</v>
      </c>
      <c r="O61" s="66">
        <f t="shared" si="0"/>
        <v>2.3975847904300239E-5</v>
      </c>
      <c r="P61" s="66">
        <f t="shared" si="1"/>
        <v>0</v>
      </c>
      <c r="Q61" s="66">
        <f t="shared" si="2"/>
        <v>3.5992823793730151E-2</v>
      </c>
      <c r="R61" t="s">
        <v>152</v>
      </c>
      <c r="S61">
        <v>0</v>
      </c>
      <c r="T61" t="s">
        <v>275</v>
      </c>
    </row>
    <row r="62" spans="1:20" s="6" customFormat="1" ht="19" x14ac:dyDescent="0.25">
      <c r="A62" s="6" t="s">
        <v>28</v>
      </c>
      <c r="B62" s="9">
        <v>0</v>
      </c>
      <c r="C62" s="7">
        <v>260329</v>
      </c>
      <c r="D62" s="7">
        <v>110563</v>
      </c>
      <c r="E62" s="6">
        <f t="shared" si="14"/>
        <v>2.5625842461543249E-3</v>
      </c>
      <c r="F62" s="6">
        <f t="shared" si="15"/>
        <v>3.6211326396423612E-3</v>
      </c>
      <c r="G62" s="8">
        <f t="shared" si="16"/>
        <v>6.4927632455315461E-7</v>
      </c>
      <c r="H62" s="7">
        <v>0</v>
      </c>
      <c r="I62" s="3">
        <f t="shared" si="17"/>
        <v>6.9901283926741796E-3</v>
      </c>
      <c r="N62" s="63">
        <v>5264605</v>
      </c>
      <c r="O62" s="66">
        <f t="shared" si="0"/>
        <v>1.2332859246860014E-4</v>
      </c>
      <c r="P62" s="66">
        <f t="shared" si="1"/>
        <v>0</v>
      </c>
      <c r="Q62" s="66">
        <f t="shared" si="2"/>
        <v>1.3277593271810857</v>
      </c>
      <c r="R62" t="s">
        <v>153</v>
      </c>
      <c r="S62">
        <v>0</v>
      </c>
      <c r="T62" t="s">
        <v>276</v>
      </c>
    </row>
    <row r="63" spans="1:20" s="6" customFormat="1" ht="19" x14ac:dyDescent="0.25">
      <c r="A63" s="6" t="s">
        <v>27</v>
      </c>
      <c r="B63" s="9">
        <v>0</v>
      </c>
      <c r="C63" s="7">
        <v>457006</v>
      </c>
      <c r="D63" s="7">
        <v>19146</v>
      </c>
      <c r="E63" s="6">
        <f t="shared" si="14"/>
        <v>4.4986012929715989E-3</v>
      </c>
      <c r="F63" s="6">
        <f t="shared" si="15"/>
        <v>6.2706516211203246E-4</v>
      </c>
      <c r="G63" s="8">
        <f t="shared" si="16"/>
        <v>1.1243403769701165E-7</v>
      </c>
      <c r="H63" s="7">
        <v>0</v>
      </c>
      <c r="I63" s="3">
        <f t="shared" si="17"/>
        <v>1.2271128518998867E-2</v>
      </c>
      <c r="N63" s="63">
        <v>5287036</v>
      </c>
      <c r="O63" s="66">
        <f t="shared" si="0"/>
        <v>2.1265986782955827E-5</v>
      </c>
      <c r="P63" s="66">
        <f t="shared" si="1"/>
        <v>0</v>
      </c>
      <c r="Q63" s="66">
        <f t="shared" si="2"/>
        <v>2.3209844833662694</v>
      </c>
      <c r="R63" t="s">
        <v>154</v>
      </c>
      <c r="S63">
        <v>0</v>
      </c>
      <c r="T63" t="s">
        <v>277</v>
      </c>
    </row>
    <row r="64" spans="1:20" s="6" customFormat="1" ht="19" x14ac:dyDescent="0.25">
      <c r="A64" s="6" t="s">
        <v>26</v>
      </c>
      <c r="B64" s="9">
        <v>0</v>
      </c>
      <c r="C64" s="7">
        <v>91827</v>
      </c>
      <c r="D64" s="7">
        <v>7175</v>
      </c>
      <c r="E64" s="6">
        <f t="shared" si="14"/>
        <v>9.0391167934272853E-4</v>
      </c>
      <c r="F64" s="6">
        <f t="shared" si="15"/>
        <v>2.3499386494065774E-4</v>
      </c>
      <c r="G64" s="8">
        <f t="shared" si="16"/>
        <v>4.2134869971589812E-8</v>
      </c>
      <c r="H64" s="7">
        <v>0</v>
      </c>
      <c r="I64" s="3">
        <f t="shared" si="17"/>
        <v>2.4656589158875571E-3</v>
      </c>
      <c r="N64" s="63">
        <v>14491782</v>
      </c>
      <c r="O64" s="66">
        <f t="shared" si="0"/>
        <v>2.9075009527185691E-6</v>
      </c>
      <c r="P64" s="66">
        <f t="shared" si="1"/>
        <v>0</v>
      </c>
      <c r="Q64" s="66">
        <f t="shared" si="2"/>
        <v>0.17014187184761387</v>
      </c>
      <c r="R64" t="s">
        <v>155</v>
      </c>
      <c r="S64">
        <v>0</v>
      </c>
      <c r="T64" t="s">
        <v>278</v>
      </c>
    </row>
    <row r="65" spans="1:20" s="6" customFormat="1" ht="19" x14ac:dyDescent="0.25">
      <c r="A65" s="6" t="s">
        <v>25</v>
      </c>
      <c r="B65" s="9">
        <v>0</v>
      </c>
      <c r="C65" s="7">
        <v>41731</v>
      </c>
      <c r="D65" s="7">
        <v>58556</v>
      </c>
      <c r="E65" s="6">
        <f t="shared" si="14"/>
        <v>4.1078482680095618E-4</v>
      </c>
      <c r="F65" s="6">
        <f t="shared" si="15"/>
        <v>1.9178119519812063E-3</v>
      </c>
      <c r="G65" s="8">
        <f t="shared" si="16"/>
        <v>3.4386751861413427E-7</v>
      </c>
      <c r="H65" s="7">
        <v>0</v>
      </c>
      <c r="I65" s="3">
        <f t="shared" si="17"/>
        <v>1.1205245975465128E-3</v>
      </c>
      <c r="N65" s="63">
        <v>3088567</v>
      </c>
      <c r="O65" s="66">
        <f t="shared" si="0"/>
        <v>1.113356189501909E-4</v>
      </c>
      <c r="P65" s="66">
        <f t="shared" si="1"/>
        <v>0</v>
      </c>
      <c r="Q65" s="66">
        <f t="shared" si="2"/>
        <v>0.36279756843432986</v>
      </c>
      <c r="R65" t="s">
        <v>156</v>
      </c>
      <c r="S65">
        <v>0</v>
      </c>
      <c r="T65" t="s">
        <v>279</v>
      </c>
    </row>
    <row r="66" spans="1:20" s="6" customFormat="1" ht="19" x14ac:dyDescent="0.25">
      <c r="A66" s="6" t="s">
        <v>24</v>
      </c>
      <c r="B66" s="9">
        <v>0</v>
      </c>
      <c r="C66" s="7">
        <v>816653</v>
      </c>
      <c r="D66" s="7">
        <v>31313</v>
      </c>
      <c r="E66" s="6">
        <f t="shared" si="14"/>
        <v>8.0388359052378632E-3</v>
      </c>
      <c r="F66" s="6">
        <f t="shared" si="15"/>
        <v>1.0255558038866643E-3</v>
      </c>
      <c r="G66" s="8">
        <f t="shared" si="16"/>
        <v>1.8388420674848669E-7</v>
      </c>
      <c r="H66" s="7">
        <v>0</v>
      </c>
      <c r="I66" s="3">
        <f t="shared" si="17"/>
        <v>2.1928057658818442E-2</v>
      </c>
      <c r="N66" s="63">
        <v>9948883</v>
      </c>
      <c r="O66" s="66">
        <f t="shared" si="0"/>
        <v>1.8482899713313211E-5</v>
      </c>
      <c r="P66" s="66">
        <f t="shared" si="1"/>
        <v>0</v>
      </c>
      <c r="Q66" s="66">
        <f t="shared" si="2"/>
        <v>2.2040723223721135</v>
      </c>
      <c r="R66" t="s">
        <v>157</v>
      </c>
      <c r="S66">
        <v>0</v>
      </c>
      <c r="T66" t="s">
        <v>280</v>
      </c>
    </row>
    <row r="67" spans="1:20" s="6" customFormat="1" ht="19" x14ac:dyDescent="0.25">
      <c r="A67" s="6" t="s">
        <v>23</v>
      </c>
      <c r="B67" s="9">
        <v>0</v>
      </c>
      <c r="C67" s="7">
        <v>240347</v>
      </c>
      <c r="D67" s="7">
        <v>25227</v>
      </c>
      <c r="E67" s="6">
        <f t="shared" si="14"/>
        <v>2.3658886862794903E-3</v>
      </c>
      <c r="F67" s="6">
        <f t="shared" si="15"/>
        <v>8.2622860360389867E-4</v>
      </c>
      <c r="G67" s="8">
        <f t="shared" si="16"/>
        <v>1.4814444108338623E-7</v>
      </c>
      <c r="H67" s="7">
        <v>0</v>
      </c>
      <c r="I67" s="3">
        <f t="shared" si="17"/>
        <v>6.453589069193447E-3</v>
      </c>
      <c r="N67" s="63">
        <v>4755021</v>
      </c>
      <c r="O67" s="66">
        <f t="shared" si="0"/>
        <v>3.1155370519580507E-5</v>
      </c>
      <c r="P67" s="66">
        <f t="shared" si="1"/>
        <v>0</v>
      </c>
      <c r="Q67" s="66">
        <f t="shared" si="2"/>
        <v>1.3572156819482917</v>
      </c>
      <c r="R67" t="s">
        <v>158</v>
      </c>
      <c r="S67">
        <v>0</v>
      </c>
      <c r="T67" t="s">
        <v>281</v>
      </c>
    </row>
    <row r="68" spans="1:20" s="6" customFormat="1" ht="19" x14ac:dyDescent="0.25">
      <c r="A68" s="6" t="s">
        <v>22</v>
      </c>
      <c r="B68" s="9">
        <v>0</v>
      </c>
      <c r="C68" s="7">
        <v>45111</v>
      </c>
      <c r="D68" s="7">
        <v>8092</v>
      </c>
      <c r="E68" s="6">
        <f t="shared" si="14"/>
        <v>4.4405632076437027E-4</v>
      </c>
      <c r="F68" s="6">
        <f t="shared" si="15"/>
        <v>2.6502722719161012E-4</v>
      </c>
      <c r="G68" s="8">
        <f t="shared" si="16"/>
        <v>4.7519911889910079E-8</v>
      </c>
      <c r="H68" s="7">
        <v>0</v>
      </c>
      <c r="I68" s="3">
        <f t="shared" si="17"/>
        <v>1.2112814243588879E-3</v>
      </c>
      <c r="N68" s="63">
        <v>684436</v>
      </c>
      <c r="O68" s="66">
        <f t="shared" si="0"/>
        <v>6.9429299291548198E-5</v>
      </c>
      <c r="P68" s="66">
        <f t="shared" si="1"/>
        <v>0</v>
      </c>
      <c r="Q68" s="66">
        <f t="shared" si="2"/>
        <v>1.7697511883636861</v>
      </c>
      <c r="R68" t="s">
        <v>159</v>
      </c>
      <c r="S68">
        <v>0</v>
      </c>
      <c r="T68" t="s">
        <v>282</v>
      </c>
    </row>
    <row r="69" spans="1:20" s="6" customFormat="1" ht="19" x14ac:dyDescent="0.25">
      <c r="A69" s="6" t="s">
        <v>21</v>
      </c>
      <c r="B69" s="9">
        <v>0</v>
      </c>
      <c r="C69" s="7">
        <v>2277926</v>
      </c>
      <c r="D69" s="7">
        <v>352569</v>
      </c>
      <c r="E69" s="6">
        <f t="shared" si="14"/>
        <v>2.242307726571122E-2</v>
      </c>
      <c r="F69" s="6">
        <f t="shared" si="15"/>
        <v>1.1547254629723032E-2</v>
      </c>
      <c r="G69" s="8">
        <f t="shared" si="16"/>
        <v>2.0704458496185991E-6</v>
      </c>
      <c r="H69" s="7">
        <v>0</v>
      </c>
      <c r="I69" s="3">
        <f t="shared" si="17"/>
        <v>6.1164892151895189E-2</v>
      </c>
      <c r="N69" s="63">
        <v>12593639</v>
      </c>
      <c r="O69" s="66">
        <f t="shared" si="0"/>
        <v>1.6440409714925123E-4</v>
      </c>
      <c r="P69" s="66">
        <f t="shared" si="1"/>
        <v>0</v>
      </c>
      <c r="Q69" s="66">
        <f t="shared" si="2"/>
        <v>4.8568084373305593</v>
      </c>
      <c r="R69" t="s">
        <v>160</v>
      </c>
      <c r="S69">
        <v>0</v>
      </c>
      <c r="T69" t="s">
        <v>283</v>
      </c>
    </row>
    <row r="70" spans="1:20" s="6" customFormat="1" ht="19" x14ac:dyDescent="0.25">
      <c r="A70" s="6" t="s">
        <v>20</v>
      </c>
      <c r="B70" s="9">
        <v>0</v>
      </c>
      <c r="C70" s="7">
        <v>431207</v>
      </c>
      <c r="D70" s="7">
        <v>127144</v>
      </c>
      <c r="E70" s="6">
        <f t="shared" si="14"/>
        <v>4.2446452951129835E-3</v>
      </c>
      <c r="F70" s="6">
        <f t="shared" si="15"/>
        <v>4.1641895420229946E-3</v>
      </c>
      <c r="G70" s="8">
        <f t="shared" si="16"/>
        <v>7.4664751326380699E-7</v>
      </c>
      <c r="H70" s="7">
        <v>0</v>
      </c>
      <c r="I70" s="3">
        <f t="shared" si="17"/>
        <v>1.1578396159551394E-2</v>
      </c>
      <c r="N70" s="63">
        <v>8231205</v>
      </c>
      <c r="O70" s="66">
        <f t="shared" ref="O70:O87" si="18">(G70/N70)*10^9</f>
        <v>9.0709381343777372E-5</v>
      </c>
      <c r="P70" s="66">
        <f t="shared" ref="P70:P87" si="19">(H70/N70)*10^9</f>
        <v>0</v>
      </c>
      <c r="Q70" s="66">
        <f t="shared" ref="Q70:Q87" si="20">(I70/N70)*10^9</f>
        <v>1.4066465553404872</v>
      </c>
      <c r="R70" t="s">
        <v>161</v>
      </c>
      <c r="S70">
        <v>0</v>
      </c>
      <c r="T70" t="s">
        <v>284</v>
      </c>
    </row>
    <row r="71" spans="1:20" s="6" customFormat="1" ht="19" x14ac:dyDescent="0.25">
      <c r="A71" s="6" t="s">
        <v>19</v>
      </c>
      <c r="B71" s="9">
        <v>0</v>
      </c>
      <c r="C71" s="7">
        <v>1365875</v>
      </c>
      <c r="D71" s="7">
        <v>25159</v>
      </c>
      <c r="E71" s="6">
        <f t="shared" si="14"/>
        <v>1.3445178052449163E-2</v>
      </c>
      <c r="F71" s="6">
        <f t="shared" si="15"/>
        <v>8.2400148404766663E-4</v>
      </c>
      <c r="G71" s="8">
        <f t="shared" si="16"/>
        <v>1.4774511409271471E-7</v>
      </c>
      <c r="H71" s="7">
        <v>0</v>
      </c>
      <c r="I71" s="3">
        <f t="shared" si="17"/>
        <v>3.6675290184127948E-2</v>
      </c>
      <c r="N71" s="63">
        <v>7215432</v>
      </c>
      <c r="O71" s="66">
        <f t="shared" si="18"/>
        <v>2.0476267268919546E-5</v>
      </c>
      <c r="P71" s="66">
        <f t="shared" si="19"/>
        <v>0</v>
      </c>
      <c r="Q71" s="66">
        <f t="shared" si="20"/>
        <v>5.0828959630037325</v>
      </c>
      <c r="R71" t="s">
        <v>162</v>
      </c>
      <c r="S71">
        <v>0</v>
      </c>
      <c r="T71" t="s">
        <v>285</v>
      </c>
    </row>
    <row r="72" spans="1:20" s="6" customFormat="1" ht="19" x14ac:dyDescent="0.25">
      <c r="A72" s="6" t="s">
        <v>18</v>
      </c>
      <c r="B72" s="9">
        <v>0</v>
      </c>
      <c r="C72" s="7">
        <v>1335231</v>
      </c>
      <c r="D72" s="7">
        <v>243889</v>
      </c>
      <c r="E72" s="6">
        <f t="shared" si="14"/>
        <v>1.3143529632030566E-2</v>
      </c>
      <c r="F72" s="6">
        <f t="shared" si="15"/>
        <v>7.9877935507333912E-3</v>
      </c>
      <c r="G72" s="8">
        <f t="shared" si="16"/>
        <v>1.4322273592335984E-6</v>
      </c>
      <c r="H72" s="7">
        <v>0</v>
      </c>
      <c r="I72" s="3">
        <f t="shared" si="17"/>
        <v>3.5852464089205338E-2</v>
      </c>
      <c r="N72" s="63">
        <v>7013107</v>
      </c>
      <c r="O72" s="66">
        <f t="shared" si="18"/>
        <v>2.042215182562591E-4</v>
      </c>
      <c r="P72" s="66">
        <f t="shared" si="19"/>
        <v>0</v>
      </c>
      <c r="Q72" s="66">
        <f t="shared" si="20"/>
        <v>5.1122083392147504</v>
      </c>
      <c r="R72" t="s">
        <v>163</v>
      </c>
      <c r="S72">
        <v>0</v>
      </c>
      <c r="T72" t="s">
        <v>286</v>
      </c>
    </row>
    <row r="73" spans="1:20" s="6" customFormat="1" ht="19" x14ac:dyDescent="0.25">
      <c r="A73" s="6" t="s">
        <v>17</v>
      </c>
      <c r="B73" s="9">
        <v>0</v>
      </c>
      <c r="C73" s="7">
        <v>1751335</v>
      </c>
      <c r="D73" s="7">
        <v>44806</v>
      </c>
      <c r="E73" s="6">
        <f t="shared" si="14"/>
        <v>1.7239506473495786E-2</v>
      </c>
      <c r="F73" s="6">
        <f t="shared" si="15"/>
        <v>1.4674752770078203E-3</v>
      </c>
      <c r="G73" s="8">
        <f t="shared" si="16"/>
        <v>2.631212521180562E-7</v>
      </c>
      <c r="H73" s="7">
        <v>0</v>
      </c>
      <c r="I73" s="3">
        <f t="shared" si="17"/>
        <v>4.70253275992457E-2</v>
      </c>
      <c r="N73" s="63">
        <v>22168982</v>
      </c>
      <c r="O73" s="66">
        <f t="shared" si="18"/>
        <v>1.1868891955348071E-5</v>
      </c>
      <c r="P73" s="66">
        <f t="shared" si="19"/>
        <v>0</v>
      </c>
      <c r="Q73" s="66">
        <f t="shared" si="20"/>
        <v>2.1212217863339733</v>
      </c>
      <c r="R73" t="s">
        <v>164</v>
      </c>
      <c r="S73">
        <v>0</v>
      </c>
      <c r="T73" t="s">
        <v>287</v>
      </c>
    </row>
    <row r="74" spans="1:20" s="6" customFormat="1" ht="19" x14ac:dyDescent="0.25">
      <c r="A74" s="6" t="s">
        <v>16</v>
      </c>
      <c r="B74" s="9">
        <v>0</v>
      </c>
      <c r="C74" s="7">
        <v>146272</v>
      </c>
      <c r="D74" s="7">
        <v>12351</v>
      </c>
      <c r="E74" s="6">
        <f t="shared" si="14"/>
        <v>1.4398485103599115E-3</v>
      </c>
      <c r="F74" s="6">
        <f t="shared" si="15"/>
        <v>4.0451696527973017E-4</v>
      </c>
      <c r="G74" s="8">
        <f t="shared" si="16"/>
        <v>7.2530700908586183E-8</v>
      </c>
      <c r="H74" s="7">
        <v>0</v>
      </c>
      <c r="I74" s="3">
        <f t="shared" si="17"/>
        <v>3.9275688081360036E-3</v>
      </c>
      <c r="N74" s="63">
        <v>4883314</v>
      </c>
      <c r="O74" s="66">
        <f t="shared" si="18"/>
        <v>1.4852762060474953E-5</v>
      </c>
      <c r="P74" s="66">
        <f t="shared" si="19"/>
        <v>0</v>
      </c>
      <c r="Q74" s="66">
        <f t="shared" si="20"/>
        <v>0.80428348620137957</v>
      </c>
      <c r="R74" t="s">
        <v>165</v>
      </c>
      <c r="S74">
        <v>0</v>
      </c>
      <c r="T74" t="s">
        <v>288</v>
      </c>
    </row>
    <row r="75" spans="1:20" s="6" customFormat="1" ht="19" x14ac:dyDescent="0.25">
      <c r="A75" s="6" t="s">
        <v>15</v>
      </c>
      <c r="B75" s="9">
        <v>0</v>
      </c>
      <c r="C75" s="7">
        <v>3860058</v>
      </c>
      <c r="D75" s="7">
        <v>10959055</v>
      </c>
      <c r="E75" s="6">
        <f t="shared" si="14"/>
        <v>3.7997010782671044E-2</v>
      </c>
      <c r="F75" s="6">
        <f t="shared" si="15"/>
        <v>0.35892831924003343</v>
      </c>
      <c r="G75" s="8">
        <f t="shared" si="16"/>
        <v>6.435656549637647E-5</v>
      </c>
      <c r="H75" s="7">
        <v>0</v>
      </c>
      <c r="I75" s="3">
        <f t="shared" si="17"/>
        <v>0.10364692763068696</v>
      </c>
      <c r="N75" s="63">
        <v>425523771</v>
      </c>
      <c r="O75" s="66">
        <f t="shared" si="18"/>
        <v>1.5124082338604879E-4</v>
      </c>
      <c r="P75" s="66">
        <f t="shared" si="19"/>
        <v>0</v>
      </c>
      <c r="Q75" s="66">
        <f t="shared" si="20"/>
        <v>0.2435749415058811</v>
      </c>
      <c r="R75" t="s">
        <v>166</v>
      </c>
      <c r="S75">
        <v>0</v>
      </c>
      <c r="T75" t="s">
        <v>289</v>
      </c>
    </row>
    <row r="76" spans="1:20" s="6" customFormat="1" ht="19" x14ac:dyDescent="0.25">
      <c r="A76" s="6" t="s">
        <v>14</v>
      </c>
      <c r="B76" s="9">
        <v>0</v>
      </c>
      <c r="C76" s="7">
        <v>776617</v>
      </c>
      <c r="D76" s="7">
        <v>3429627</v>
      </c>
      <c r="E76" s="6">
        <f t="shared" si="14"/>
        <v>7.6447360436049504E-3</v>
      </c>
      <c r="F76" s="6">
        <f t="shared" si="15"/>
        <v>0.11232631415119626</v>
      </c>
      <c r="G76" s="8">
        <f t="shared" si="16"/>
        <v>2.0140332779937792E-5</v>
      </c>
      <c r="H76" s="7">
        <v>0</v>
      </c>
      <c r="I76" s="3">
        <f t="shared" si="17"/>
        <v>2.0853045730339081E-2</v>
      </c>
      <c r="N76" s="63">
        <v>212476386</v>
      </c>
      <c r="O76" s="66">
        <f t="shared" si="18"/>
        <v>9.4788569963430159E-5</v>
      </c>
      <c r="P76" s="66">
        <f t="shared" si="19"/>
        <v>0</v>
      </c>
      <c r="Q76" s="66">
        <f t="shared" si="20"/>
        <v>9.8142886006819988E-2</v>
      </c>
      <c r="R76" t="s">
        <v>167</v>
      </c>
      <c r="S76">
        <v>0</v>
      </c>
      <c r="T76" t="s">
        <v>290</v>
      </c>
    </row>
    <row r="77" spans="1:20" s="6" customFormat="1" ht="19" x14ac:dyDescent="0.25">
      <c r="A77" s="6" t="s">
        <v>13</v>
      </c>
      <c r="B77" s="9">
        <v>0</v>
      </c>
      <c r="C77" s="7">
        <v>1283636</v>
      </c>
      <c r="D77" s="7">
        <v>1939270</v>
      </c>
      <c r="E77" s="6">
        <f t="shared" si="14"/>
        <v>1.2635647167225136E-2</v>
      </c>
      <c r="F77" s="6">
        <f t="shared" si="15"/>
        <v>6.3514502085500954E-2</v>
      </c>
      <c r="G77" s="8">
        <f t="shared" si="16"/>
        <v>1.1388277252934492E-5</v>
      </c>
      <c r="H77" s="7">
        <v>0</v>
      </c>
      <c r="I77" s="3">
        <f t="shared" si="17"/>
        <v>3.446707992370697E-2</v>
      </c>
      <c r="N77" s="63">
        <v>168152921</v>
      </c>
      <c r="O77" s="66">
        <f t="shared" si="18"/>
        <v>6.7725717669421225E-5</v>
      </c>
      <c r="P77" s="66">
        <f t="shared" si="19"/>
        <v>0</v>
      </c>
      <c r="Q77" s="66">
        <f t="shared" si="20"/>
        <v>0.20497461310057746</v>
      </c>
      <c r="R77" t="s">
        <v>168</v>
      </c>
      <c r="S77">
        <v>0</v>
      </c>
      <c r="T77" t="s">
        <v>291</v>
      </c>
    </row>
    <row r="78" spans="1:20" s="6" customFormat="1" ht="19" x14ac:dyDescent="0.25">
      <c r="A78" s="6" t="s">
        <v>12</v>
      </c>
      <c r="B78" s="9">
        <v>0</v>
      </c>
      <c r="C78" s="7">
        <v>22198</v>
      </c>
      <c r="D78" s="7">
        <v>7238</v>
      </c>
      <c r="E78" s="6">
        <f t="shared" si="14"/>
        <v>2.1850906005913172E-4</v>
      </c>
      <c r="F78" s="6">
        <f t="shared" si="15"/>
        <v>2.3705722570599035E-4</v>
      </c>
      <c r="G78" s="8">
        <f t="shared" si="16"/>
        <v>4.250483468353548E-8</v>
      </c>
      <c r="H78" s="7">
        <v>0</v>
      </c>
      <c r="I78" s="3">
        <f t="shared" si="17"/>
        <v>5.9604143242044272E-4</v>
      </c>
      <c r="N78" s="63">
        <v>919883</v>
      </c>
      <c r="O78" s="66">
        <f t="shared" si="18"/>
        <v>4.6206783562187239E-5</v>
      </c>
      <c r="P78" s="66">
        <f t="shared" si="19"/>
        <v>0</v>
      </c>
      <c r="Q78" s="66">
        <f t="shared" si="20"/>
        <v>0.64795352498137559</v>
      </c>
      <c r="R78" t="s">
        <v>169</v>
      </c>
      <c r="S78">
        <v>0</v>
      </c>
      <c r="T78" t="s">
        <v>292</v>
      </c>
    </row>
    <row r="79" spans="1:20" s="6" customFormat="1" ht="19" x14ac:dyDescent="0.25">
      <c r="A79" s="6" t="s">
        <v>11</v>
      </c>
      <c r="B79" s="9">
        <v>0</v>
      </c>
      <c r="C79" s="7">
        <v>120162</v>
      </c>
      <c r="D79" s="7">
        <v>31121</v>
      </c>
      <c r="E79" s="6">
        <f t="shared" si="14"/>
        <v>1.1828311413111716E-3</v>
      </c>
      <c r="F79" s="6">
        <f t="shared" si="15"/>
        <v>1.0192674663161267E-3</v>
      </c>
      <c r="G79" s="8">
        <f t="shared" si="16"/>
        <v>1.8275669524541414E-7</v>
      </c>
      <c r="H79" s="7">
        <v>0</v>
      </c>
      <c r="I79" s="3">
        <f t="shared" si="17"/>
        <v>3.2264857465765045E-3</v>
      </c>
      <c r="N79" s="63">
        <v>5367537</v>
      </c>
      <c r="O79" s="66">
        <f t="shared" si="18"/>
        <v>3.4048520810460015E-5</v>
      </c>
      <c r="P79" s="66">
        <f t="shared" si="19"/>
        <v>0</v>
      </c>
      <c r="Q79" s="66">
        <f t="shared" si="20"/>
        <v>0.60111103967732393</v>
      </c>
      <c r="R79" t="s">
        <v>170</v>
      </c>
      <c r="S79">
        <v>0</v>
      </c>
      <c r="T79" t="s">
        <v>293</v>
      </c>
    </row>
    <row r="80" spans="1:20" s="6" customFormat="1" ht="19" x14ac:dyDescent="0.25">
      <c r="A80" s="6" t="s">
        <v>10</v>
      </c>
      <c r="B80" s="9">
        <v>0</v>
      </c>
      <c r="C80" s="7">
        <v>86712</v>
      </c>
      <c r="D80" s="7">
        <v>57921</v>
      </c>
      <c r="E80" s="6">
        <f t="shared" si="14"/>
        <v>8.5356147472057976E-4</v>
      </c>
      <c r="F80" s="6">
        <f t="shared" si="15"/>
        <v>1.8970145855369807E-3</v>
      </c>
      <c r="G80" s="8">
        <f t="shared" si="16"/>
        <v>3.401385092159517E-7</v>
      </c>
      <c r="H80" s="7">
        <v>0</v>
      </c>
      <c r="I80" s="3">
        <f t="shared" si="17"/>
        <v>2.3283153747203095E-3</v>
      </c>
      <c r="N80" s="63">
        <v>2933055</v>
      </c>
      <c r="O80" s="66">
        <f t="shared" si="18"/>
        <v>1.1596731367667899E-4</v>
      </c>
      <c r="P80" s="66">
        <f t="shared" si="19"/>
        <v>0</v>
      </c>
      <c r="Q80" s="66">
        <f t="shared" si="20"/>
        <v>0.79381920036286724</v>
      </c>
      <c r="R80" t="s">
        <v>171</v>
      </c>
      <c r="S80">
        <v>0</v>
      </c>
      <c r="T80" t="s">
        <v>294</v>
      </c>
    </row>
    <row r="81" spans="1:99" s="6" customFormat="1" ht="19" x14ac:dyDescent="0.25">
      <c r="A81" s="6" t="s">
        <v>9</v>
      </c>
      <c r="B81" s="9">
        <v>0</v>
      </c>
      <c r="C81" s="7">
        <v>7679</v>
      </c>
      <c r="D81" s="7">
        <v>17955</v>
      </c>
      <c r="E81" s="6">
        <f t="shared" si="14"/>
        <v>7.5589290575460514E-5</v>
      </c>
      <c r="F81" s="6">
        <f t="shared" si="15"/>
        <v>5.880578181197923E-4</v>
      </c>
      <c r="G81" s="8">
        <f t="shared" si="16"/>
        <v>1.05439942904515E-7</v>
      </c>
      <c r="H81" s="7">
        <v>0</v>
      </c>
      <c r="I81" s="3">
        <f t="shared" si="17"/>
        <v>2.0618984411012613E-4</v>
      </c>
      <c r="N81" s="63">
        <v>5480215</v>
      </c>
      <c r="O81" s="66">
        <f t="shared" si="18"/>
        <v>1.9240110635169424E-5</v>
      </c>
      <c r="P81" s="66">
        <f t="shared" si="19"/>
        <v>0</v>
      </c>
      <c r="Q81" s="66">
        <f t="shared" si="20"/>
        <v>3.7624407821613956E-2</v>
      </c>
      <c r="R81" t="s">
        <v>172</v>
      </c>
      <c r="S81">
        <v>0</v>
      </c>
      <c r="T81" t="s">
        <v>295</v>
      </c>
    </row>
    <row r="82" spans="1:99" s="6" customFormat="1" ht="19" x14ac:dyDescent="0.25">
      <c r="A82" s="6" t="s">
        <v>8</v>
      </c>
      <c r="B82" s="9">
        <v>0</v>
      </c>
      <c r="C82" s="7">
        <v>34879</v>
      </c>
      <c r="D82" s="7">
        <v>189894</v>
      </c>
      <c r="E82" s="6">
        <f t="shared" si="14"/>
        <v>3.4333622424553812E-4</v>
      </c>
      <c r="F82" s="6">
        <f t="shared" si="15"/>
        <v>6.2193623678106292E-3</v>
      </c>
      <c r="G82" s="8">
        <f t="shared" si="16"/>
        <v>1.1151441112731814E-6</v>
      </c>
      <c r="H82" s="7">
        <v>0</v>
      </c>
      <c r="I82" s="3">
        <f t="shared" si="17"/>
        <v>9.3654063976000639E-4</v>
      </c>
      <c r="N82" s="63">
        <v>11598620</v>
      </c>
      <c r="O82" s="66">
        <f t="shared" si="18"/>
        <v>9.6144550927022474E-5</v>
      </c>
      <c r="P82" s="66">
        <f t="shared" si="19"/>
        <v>0</v>
      </c>
      <c r="Q82" s="66">
        <f t="shared" si="20"/>
        <v>8.0745868022230785E-2</v>
      </c>
      <c r="R82" t="s">
        <v>173</v>
      </c>
      <c r="S82">
        <v>0</v>
      </c>
      <c r="T82" t="s">
        <v>296</v>
      </c>
    </row>
    <row r="83" spans="1:99" s="6" customFormat="1" ht="19" x14ac:dyDescent="0.25">
      <c r="A83" s="6" t="s">
        <v>7</v>
      </c>
      <c r="B83" s="9">
        <v>0</v>
      </c>
      <c r="C83" s="7">
        <v>45989</v>
      </c>
      <c r="D83" s="7">
        <v>1355891</v>
      </c>
      <c r="E83" s="6">
        <f t="shared" si="14"/>
        <v>4.5269903428504408E-4</v>
      </c>
      <c r="F83" s="6">
        <f t="shared" si="15"/>
        <v>4.4407814150279216E-2</v>
      </c>
      <c r="G83" s="8">
        <f t="shared" si="16"/>
        <v>7.9624098927733632E-6</v>
      </c>
      <c r="H83" s="7">
        <v>0</v>
      </c>
      <c r="I83" s="3">
        <f t="shared" si="17"/>
        <v>1.2348567184243509E-3</v>
      </c>
      <c r="N83" s="63">
        <v>13934128</v>
      </c>
      <c r="O83" s="66">
        <f t="shared" si="18"/>
        <v>5.7143223406397325E-4</v>
      </c>
      <c r="P83" s="66">
        <f t="shared" si="19"/>
        <v>0</v>
      </c>
      <c r="Q83" s="66">
        <f t="shared" si="20"/>
        <v>8.862102590304545E-2</v>
      </c>
      <c r="R83" t="s">
        <v>174</v>
      </c>
      <c r="S83">
        <v>0</v>
      </c>
      <c r="T83" t="s">
        <v>297</v>
      </c>
    </row>
    <row r="84" spans="1:99" s="6" customFormat="1" ht="19" x14ac:dyDescent="0.25">
      <c r="A84" s="6" t="s">
        <v>6</v>
      </c>
      <c r="B84" s="9">
        <v>0</v>
      </c>
      <c r="C84" s="7">
        <v>116825</v>
      </c>
      <c r="D84" s="7">
        <v>87572</v>
      </c>
      <c r="E84" s="6">
        <f t="shared" si="14"/>
        <v>1.1499829237502507E-3</v>
      </c>
      <c r="F84" s="6">
        <f t="shared" si="15"/>
        <v>2.8681369673286801E-3</v>
      </c>
      <c r="G84" s="8">
        <f t="shared" si="16"/>
        <v>5.1426269451596703E-7</v>
      </c>
      <c r="H84" s="7">
        <v>0</v>
      </c>
      <c r="I84" s="3">
        <f t="shared" si="17"/>
        <v>3.1368835184484288E-3</v>
      </c>
      <c r="N84" s="63">
        <v>5802961</v>
      </c>
      <c r="O84" s="66">
        <f t="shared" si="18"/>
        <v>8.8620739397691459E-5</v>
      </c>
      <c r="P84" s="66">
        <f t="shared" si="19"/>
        <v>0</v>
      </c>
      <c r="Q84" s="66">
        <f t="shared" si="20"/>
        <v>0.54056601766726142</v>
      </c>
      <c r="R84" t="s">
        <v>175</v>
      </c>
      <c r="S84">
        <v>0</v>
      </c>
      <c r="T84" t="s">
        <v>298</v>
      </c>
    </row>
    <row r="85" spans="1:99" s="6" customFormat="1" ht="19" x14ac:dyDescent="0.25">
      <c r="A85" s="6" t="s">
        <v>5</v>
      </c>
      <c r="B85" s="9">
        <v>0</v>
      </c>
      <c r="C85" s="7">
        <v>1189285</v>
      </c>
      <c r="D85" s="7">
        <v>377213</v>
      </c>
      <c r="E85" s="6">
        <f t="shared" si="14"/>
        <v>1.1706890147419787E-2</v>
      </c>
      <c r="F85" s="6">
        <f t="shared" si="15"/>
        <v>1.2354388958308061E-2</v>
      </c>
      <c r="G85" s="8">
        <f t="shared" si="16"/>
        <v>2.2151666490025517E-6</v>
      </c>
      <c r="H85" s="7">
        <v>0</v>
      </c>
      <c r="I85" s="3">
        <f t="shared" si="17"/>
        <v>3.1933648750164259E-2</v>
      </c>
      <c r="N85" s="63">
        <v>19488914</v>
      </c>
      <c r="O85" s="66">
        <f t="shared" si="18"/>
        <v>1.1366290851314504E-4</v>
      </c>
      <c r="P85" s="66">
        <f t="shared" si="19"/>
        <v>0</v>
      </c>
      <c r="Q85" s="66">
        <f t="shared" si="20"/>
        <v>1.6385545520989142</v>
      </c>
      <c r="R85" t="s">
        <v>176</v>
      </c>
      <c r="S85">
        <v>0</v>
      </c>
      <c r="T85" t="s">
        <v>299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s="1" customFormat="1" ht="18" x14ac:dyDescent="0.2">
      <c r="A86" s="1" t="s">
        <v>4</v>
      </c>
      <c r="E86" s="1">
        <f t="shared" si="14"/>
        <v>0</v>
      </c>
      <c r="F86" s="1">
        <f t="shared" si="15"/>
        <v>0</v>
      </c>
      <c r="G86" s="4">
        <f t="shared" si="16"/>
        <v>0</v>
      </c>
      <c r="H86" s="5">
        <v>8.5009999999999999E-3</v>
      </c>
      <c r="I86" s="3">
        <v>0</v>
      </c>
      <c r="J86" s="55" t="s">
        <v>0</v>
      </c>
      <c r="K86" s="1" t="s">
        <v>3</v>
      </c>
      <c r="L86" s="55" t="s">
        <v>0</v>
      </c>
      <c r="N86" s="68">
        <v>3709378</v>
      </c>
      <c r="O86" s="66">
        <f>(G86/N86)*10^9</f>
        <v>0</v>
      </c>
      <c r="P86" s="66">
        <f t="shared" si="19"/>
        <v>2.2917588878782373</v>
      </c>
      <c r="Q86" s="66">
        <f t="shared" si="20"/>
        <v>0</v>
      </c>
      <c r="R86">
        <v>0</v>
      </c>
      <c r="S86" t="s">
        <v>217</v>
      </c>
      <c r="T86">
        <v>0</v>
      </c>
    </row>
    <row r="87" spans="1:99" s="1" customFormat="1" ht="18" x14ac:dyDescent="0.2">
      <c r="A87" s="1" t="s">
        <v>2</v>
      </c>
      <c r="E87" s="1">
        <f t="shared" si="14"/>
        <v>0</v>
      </c>
      <c r="F87" s="1">
        <f t="shared" si="15"/>
        <v>0</v>
      </c>
      <c r="G87" s="4">
        <f t="shared" si="16"/>
        <v>0</v>
      </c>
      <c r="H87" s="2">
        <v>3.7342460000000001E-3</v>
      </c>
      <c r="I87" s="3">
        <v>0</v>
      </c>
      <c r="J87" s="55" t="s">
        <v>0</v>
      </c>
      <c r="K87" s="55" t="s">
        <v>1</v>
      </c>
      <c r="L87" s="55" t="s">
        <v>0</v>
      </c>
      <c r="N87" s="68">
        <v>2034765</v>
      </c>
      <c r="O87" s="66">
        <f t="shared" si="18"/>
        <v>0</v>
      </c>
      <c r="P87" s="66">
        <f t="shared" si="19"/>
        <v>1.8352222492523707</v>
      </c>
      <c r="Q87" s="66">
        <f t="shared" si="20"/>
        <v>0</v>
      </c>
      <c r="R87">
        <v>0</v>
      </c>
      <c r="S87" t="s">
        <v>218</v>
      </c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x14ac:dyDescent="0.2">
      <c r="F88" s="46" t="s">
        <v>100</v>
      </c>
      <c r="G88" s="47">
        <f>SUM(G2:G87)</f>
        <v>1.0200084244700005</v>
      </c>
      <c r="H88" s="47">
        <f>SUM(H2:H87)</f>
        <v>1.143190192</v>
      </c>
      <c r="I88" s="47">
        <f>SUM(I2:I87)</f>
        <v>4.7610240625200007</v>
      </c>
      <c r="O88"/>
      <c r="P88"/>
      <c r="Q88"/>
    </row>
    <row r="89" spans="1:99" x14ac:dyDescent="0.2">
      <c r="O89"/>
      <c r="P89"/>
      <c r="Q89"/>
    </row>
    <row r="90" spans="1:99" x14ac:dyDescent="0.2">
      <c r="O90"/>
      <c r="P90"/>
      <c r="Q90"/>
    </row>
    <row r="91" spans="1:99" x14ac:dyDescent="0.2">
      <c r="O91"/>
      <c r="P91"/>
      <c r="Q91"/>
    </row>
    <row r="92" spans="1:99" x14ac:dyDescent="0.2">
      <c r="O92"/>
      <c r="P92"/>
      <c r="Q92"/>
    </row>
    <row r="93" spans="1:99" x14ac:dyDescent="0.2">
      <c r="O93"/>
      <c r="P93"/>
      <c r="Q93"/>
    </row>
    <row r="94" spans="1:99" x14ac:dyDescent="0.2">
      <c r="O94"/>
      <c r="P94"/>
      <c r="Q94"/>
    </row>
    <row r="95" spans="1:99" x14ac:dyDescent="0.2">
      <c r="O95"/>
      <c r="P95"/>
      <c r="Q95"/>
    </row>
    <row r="96" spans="1:99" x14ac:dyDescent="0.2">
      <c r="O96"/>
      <c r="P96"/>
      <c r="Q96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F20E-8DF0-6042-A384-4EC4C6B8568F}">
  <dimension ref="A1:CU114"/>
  <sheetViews>
    <sheetView tabSelected="1" topLeftCell="I1" workbookViewId="0">
      <selection activeCell="I6" sqref="A6:XFD6"/>
    </sheetView>
  </sheetViews>
  <sheetFormatPr baseColWidth="10" defaultRowHeight="14" x14ac:dyDescent="0.2"/>
  <cols>
    <col min="1" max="1" width="23.19921875" customWidth="1"/>
    <col min="2" max="2" width="46.3984375" customWidth="1"/>
    <col min="3" max="3" width="51.19921875" bestFit="1" customWidth="1"/>
    <col min="4" max="4" width="47.796875" bestFit="1" customWidth="1"/>
    <col min="5" max="7" width="47.796875" customWidth="1"/>
    <col min="8" max="8" width="25.19921875" customWidth="1"/>
    <col min="9" max="9" width="14.3984375" customWidth="1"/>
    <col min="10" max="10" width="11" style="64"/>
    <col min="11" max="11" width="13.59765625" style="64" bestFit="1" customWidth="1"/>
    <col min="12" max="12" width="20.796875" style="64" bestFit="1" customWidth="1"/>
    <col min="14" max="14" width="13.796875" bestFit="1" customWidth="1"/>
    <col min="15" max="15" width="20.796875" style="64" bestFit="1" customWidth="1"/>
    <col min="16" max="16" width="20.59765625" style="64" customWidth="1"/>
    <col min="17" max="17" width="15.3984375" style="64" bestFit="1" customWidth="1"/>
    <col min="18" max="18" width="20.19921875" style="69" bestFit="1" customWidth="1"/>
    <col min="19" max="19" width="13.59765625" style="69" bestFit="1" customWidth="1"/>
    <col min="20" max="20" width="20.19921875" style="69" bestFit="1" customWidth="1"/>
    <col min="21" max="21" width="23.19921875" bestFit="1" customWidth="1"/>
    <col min="22" max="22" width="29.3984375" bestFit="1" customWidth="1"/>
    <col min="23" max="23" width="23.59765625" bestFit="1" customWidth="1"/>
    <col min="24" max="25" width="20.19921875" bestFit="1" customWidth="1"/>
    <col min="27" max="27" width="20.19921875" bestFit="1" customWidth="1"/>
    <col min="28" max="28" width="19.19921875" bestFit="1" customWidth="1"/>
    <col min="31" max="31" width="20.19921875" bestFit="1" customWidth="1"/>
    <col min="33" max="33" width="20.19921875" bestFit="1" customWidth="1"/>
    <col min="34" max="34" width="19.19921875" bestFit="1" customWidth="1"/>
    <col min="36" max="39" width="20.19921875" bestFit="1" customWidth="1"/>
    <col min="41" max="42" width="20.19921875" bestFit="1" customWidth="1"/>
    <col min="45" max="45" width="20.19921875" bestFit="1" customWidth="1"/>
    <col min="48" max="49" width="20.19921875" bestFit="1" customWidth="1"/>
    <col min="53" max="59" width="20.19921875" bestFit="1" customWidth="1"/>
    <col min="61" max="62" width="20.19921875" bestFit="1" customWidth="1"/>
    <col min="64" max="64" width="20.19921875" bestFit="1" customWidth="1"/>
    <col min="69" max="73" width="20.19921875" bestFit="1" customWidth="1"/>
    <col min="75" max="75" width="20.19921875" bestFit="1" customWidth="1"/>
    <col min="83" max="84" width="20.19921875" bestFit="1" customWidth="1"/>
    <col min="87" max="87" width="20.19921875" bestFit="1" customWidth="1"/>
    <col min="89" max="91" width="20.19921875" bestFit="1" customWidth="1"/>
    <col min="96" max="99" width="20.19921875" bestFit="1" customWidth="1"/>
  </cols>
  <sheetData>
    <row r="1" spans="1:99" s="42" customFormat="1" ht="42" customHeight="1" x14ac:dyDescent="0.2">
      <c r="A1" s="45" t="s">
        <v>92</v>
      </c>
      <c r="B1" s="44" t="s">
        <v>85</v>
      </c>
      <c r="C1" s="43" t="s">
        <v>72</v>
      </c>
      <c r="D1" s="42" t="s">
        <v>56</v>
      </c>
      <c r="E1" s="42" t="s">
        <v>91</v>
      </c>
      <c r="F1" s="43" t="s">
        <v>90</v>
      </c>
      <c r="G1" s="43" t="s">
        <v>97</v>
      </c>
      <c r="H1" s="43" t="s">
        <v>98</v>
      </c>
      <c r="I1" s="43" t="s">
        <v>99</v>
      </c>
      <c r="J1" s="70" t="s">
        <v>94</v>
      </c>
      <c r="K1" s="70" t="s">
        <v>93</v>
      </c>
      <c r="L1" s="70" t="s">
        <v>95</v>
      </c>
      <c r="M1" s="43" t="s">
        <v>96</v>
      </c>
      <c r="N1" s="42" t="s">
        <v>101</v>
      </c>
      <c r="O1" s="67" t="s">
        <v>102</v>
      </c>
      <c r="P1" s="67" t="s">
        <v>103</v>
      </c>
      <c r="Q1" s="67" t="s">
        <v>104</v>
      </c>
      <c r="R1" s="77" t="s">
        <v>307</v>
      </c>
      <c r="S1" s="77" t="s">
        <v>300</v>
      </c>
      <c r="T1" s="77" t="s">
        <v>308</v>
      </c>
      <c r="U1" s="39" t="s">
        <v>301</v>
      </c>
      <c r="V1" s="39" t="s">
        <v>302</v>
      </c>
      <c r="W1" s="39" t="s">
        <v>303</v>
      </c>
      <c r="X1" s="67" t="s">
        <v>304</v>
      </c>
      <c r="Y1" s="67" t="s">
        <v>305</v>
      </c>
      <c r="Z1" s="67" t="s">
        <v>306</v>
      </c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</row>
    <row r="2" spans="1:99" s="39" customFormat="1" ht="19" x14ac:dyDescent="0.25">
      <c r="A2" s="39" t="s">
        <v>89</v>
      </c>
      <c r="B2" s="41">
        <v>0</v>
      </c>
      <c r="C2" s="40">
        <v>4854572</v>
      </c>
      <c r="D2" s="40">
        <v>41269</v>
      </c>
      <c r="E2" s="39">
        <f>(C2+B2)/SUM(B$2:C$4)</f>
        <v>0.92291576600777414</v>
      </c>
      <c r="F2" s="39">
        <f>D2/SUM(D$2:D$4)</f>
        <v>0.97021346624036109</v>
      </c>
      <c r="G2" s="40">
        <v>0</v>
      </c>
      <c r="H2" s="40">
        <f>F2*K$2</f>
        <v>6.239855142114905E-2</v>
      </c>
      <c r="I2" s="40">
        <v>0</v>
      </c>
      <c r="K2" s="72">
        <v>6.4314249999999906E-2</v>
      </c>
      <c r="L2" s="71" t="s">
        <v>0</v>
      </c>
      <c r="N2" s="59">
        <v>137189295</v>
      </c>
      <c r="O2" s="65">
        <v>0</v>
      </c>
      <c r="P2" s="66">
        <f>(H2/N2)*10^9</f>
        <v>0.45483542590658443</v>
      </c>
      <c r="Q2" s="65">
        <v>0</v>
      </c>
      <c r="R2" s="69">
        <v>5.6099999999999999E-8</v>
      </c>
      <c r="S2" s="69">
        <v>6.1200000000000005E-8</v>
      </c>
      <c r="T2" s="69">
        <v>6.6300000000000005E-8</v>
      </c>
      <c r="U2" s="59">
        <f>R2*G2*1000000000</f>
        <v>0</v>
      </c>
      <c r="V2" s="59">
        <f>S2*H2*1000000000</f>
        <v>3.8187913469743222</v>
      </c>
      <c r="W2" s="59">
        <f>T2*I2*1000000000</f>
        <v>0</v>
      </c>
      <c r="X2" s="59">
        <f>R2*O2</f>
        <v>0</v>
      </c>
      <c r="Y2" s="59">
        <f t="shared" ref="Y2:Z17" si="0">S2*P2</f>
        <v>2.7835928065482971E-8</v>
      </c>
      <c r="Z2" s="59">
        <f>T2*Q2</f>
        <v>0</v>
      </c>
      <c r="AA2" s="59"/>
    </row>
    <row r="3" spans="1:99" s="39" customFormat="1" ht="19" x14ac:dyDescent="0.25">
      <c r="A3" s="39" t="s">
        <v>88</v>
      </c>
      <c r="B3" s="41">
        <v>0</v>
      </c>
      <c r="C3" s="40">
        <v>22412</v>
      </c>
      <c r="D3" s="39">
        <v>339</v>
      </c>
      <c r="E3" s="39">
        <f>(C3+B3)/SUM(B$2:C$4)</f>
        <v>4.2608057204149476E-3</v>
      </c>
      <c r="F3" s="39">
        <f>D3/SUM(D$2:D$4)</f>
        <v>7.9697197667857808E-3</v>
      </c>
      <c r="G3" s="40">
        <v>0</v>
      </c>
      <c r="H3" s="40">
        <f>F3*K$2</f>
        <v>5.125665495110017E-4</v>
      </c>
      <c r="I3" s="40">
        <v>0</v>
      </c>
      <c r="J3" s="71">
        <v>0</v>
      </c>
      <c r="K3" s="72"/>
      <c r="L3" s="64"/>
      <c r="N3" s="59">
        <v>206894</v>
      </c>
      <c r="O3" s="65">
        <v>0</v>
      </c>
      <c r="P3" s="66">
        <f>(H3/N3)*10^9</f>
        <v>2.4774355443415552</v>
      </c>
      <c r="Q3" s="65">
        <v>0</v>
      </c>
      <c r="R3" s="69">
        <v>5.6099999999999999E-8</v>
      </c>
      <c r="S3" s="69">
        <v>6.1200000000000005E-8</v>
      </c>
      <c r="T3" s="69">
        <v>6.6300000000000005E-8</v>
      </c>
      <c r="U3" s="59">
        <f t="shared" ref="U3:U66" si="1">R3*G3*1000000000</f>
        <v>0</v>
      </c>
      <c r="V3" s="59">
        <f t="shared" ref="V3:V66" si="2">S3*H3*1000000000</f>
        <v>3.1369072830073307E-2</v>
      </c>
      <c r="W3" s="59">
        <f t="shared" ref="W3:W66" si="3">T3*I3*1000000000</f>
        <v>0</v>
      </c>
      <c r="X3" s="59">
        <f t="shared" ref="X3:Z66" si="4">R3*O3</f>
        <v>0</v>
      </c>
      <c r="Y3" s="59">
        <f t="shared" si="0"/>
        <v>1.516190553137032E-7</v>
      </c>
      <c r="Z3" s="59">
        <f t="shared" si="0"/>
        <v>0</v>
      </c>
      <c r="AA3" s="59"/>
    </row>
    <row r="4" spans="1:99" s="39" customFormat="1" ht="19" x14ac:dyDescent="0.25">
      <c r="A4" s="39" t="s">
        <v>87</v>
      </c>
      <c r="B4" s="41">
        <v>0</v>
      </c>
      <c r="C4" s="40">
        <v>383054</v>
      </c>
      <c r="D4" s="39">
        <v>928</v>
      </c>
      <c r="E4" s="39">
        <f>(C4+B4)/SUM(B$2:C$4)</f>
        <v>7.2823428271810958E-2</v>
      </c>
      <c r="F4" s="39">
        <f>D4/SUM(D$2:D$4)</f>
        <v>2.1816813992853113E-2</v>
      </c>
      <c r="G4" s="40">
        <v>0</v>
      </c>
      <c r="H4" s="40">
        <f>F4*K$2</f>
        <v>1.4031320293398514E-3</v>
      </c>
      <c r="I4" s="40">
        <v>0</v>
      </c>
      <c r="J4" s="64"/>
      <c r="K4" s="64"/>
      <c r="L4" s="64"/>
      <c r="N4" s="59">
        <v>12254195</v>
      </c>
      <c r="O4" s="65">
        <v>0</v>
      </c>
      <c r="P4" s="66">
        <f>(H4/N4)*10^9</f>
        <v>0.11450217899583377</v>
      </c>
      <c r="Q4" s="65">
        <v>0</v>
      </c>
      <c r="R4" s="69">
        <v>5.6099999999999999E-8</v>
      </c>
      <c r="S4" s="69">
        <v>6.1200000000000005E-8</v>
      </c>
      <c r="T4" s="69">
        <v>6.6300000000000005E-8</v>
      </c>
      <c r="U4" s="59">
        <f t="shared" si="1"/>
        <v>0</v>
      </c>
      <c r="V4" s="59">
        <f t="shared" si="2"/>
        <v>8.5871680195598918E-2</v>
      </c>
      <c r="W4" s="59">
        <f t="shared" si="3"/>
        <v>0</v>
      </c>
      <c r="X4" s="59">
        <f t="shared" si="4"/>
        <v>0</v>
      </c>
      <c r="Y4" s="59">
        <f t="shared" si="0"/>
        <v>7.0075333545450273E-9</v>
      </c>
      <c r="Z4" s="59">
        <f t="shared" si="0"/>
        <v>0</v>
      </c>
      <c r="AA4" s="59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</row>
    <row r="5" spans="1:99" s="33" customFormat="1" ht="19" x14ac:dyDescent="0.25">
      <c r="A5" s="33" t="s">
        <v>86</v>
      </c>
      <c r="B5" s="38">
        <v>0</v>
      </c>
      <c r="C5" s="33">
        <v>42</v>
      </c>
      <c r="D5" s="33">
        <v>34</v>
      </c>
      <c r="E5" s="35">
        <f>(C5+B5)/SUM(B$5:C$9)</f>
        <v>1.0581514965071302E-6</v>
      </c>
      <c r="F5" s="35">
        <f>D5/SUM(D$5:D$9)</f>
        <v>1.3356678712557595E-5</v>
      </c>
      <c r="G5" s="34">
        <f>J$9*F5</f>
        <v>1.6604515421660526E-6</v>
      </c>
      <c r="H5" s="34">
        <f>K$9*F5</f>
        <v>1.3746052610386075E-8</v>
      </c>
      <c r="I5" s="34">
        <f>L$9*E5</f>
        <v>6.8054219884233597E-8</v>
      </c>
      <c r="J5" s="64"/>
      <c r="K5" s="64"/>
      <c r="L5" s="64"/>
      <c r="N5" s="60">
        <v>2531</v>
      </c>
      <c r="O5" s="66">
        <f>(G5/N5)*10^9</f>
        <v>0.65604565079654387</v>
      </c>
      <c r="P5" s="66">
        <f>(H5/N5)*10^9</f>
        <v>5.431075705407378E-3</v>
      </c>
      <c r="Q5" s="66">
        <f>(I5/N5)*10^9</f>
        <v>2.6888273363980086E-2</v>
      </c>
      <c r="R5" s="69">
        <v>5.6099999999999999E-8</v>
      </c>
      <c r="S5" s="69">
        <v>6.1200000000000005E-8</v>
      </c>
      <c r="T5" s="69">
        <v>6.6300000000000005E-8</v>
      </c>
      <c r="U5" s="59">
        <f t="shared" si="1"/>
        <v>9.315133151551555E-5</v>
      </c>
      <c r="V5" s="59">
        <f t="shared" si="2"/>
        <v>8.4125841975562786E-7</v>
      </c>
      <c r="W5" s="59">
        <f t="shared" si="3"/>
        <v>4.5119947783246877E-6</v>
      </c>
      <c r="X5" s="59">
        <f t="shared" si="4"/>
        <v>3.6804161009686111E-8</v>
      </c>
      <c r="Y5" s="59">
        <f t="shared" si="0"/>
        <v>3.3238183317093156E-10</v>
      </c>
      <c r="Z5" s="59">
        <f t="shared" si="0"/>
        <v>1.7826925240318798E-9</v>
      </c>
      <c r="AA5" s="59"/>
    </row>
    <row r="6" spans="1:99" s="33" customFormat="1" ht="19" x14ac:dyDescent="0.25">
      <c r="A6" s="33" t="s">
        <v>85</v>
      </c>
      <c r="B6" s="37">
        <v>61940</v>
      </c>
      <c r="C6" s="36">
        <v>36280792</v>
      </c>
      <c r="D6" s="36">
        <v>1928742</v>
      </c>
      <c r="E6" s="35">
        <f>(C6+B6)/SUM(B$5:C$9)</f>
        <v>0.91562181554660871</v>
      </c>
      <c r="F6" s="35">
        <f>D6/SUM(D$5:D$9)</f>
        <v>0.75769374157105185</v>
      </c>
      <c r="G6" s="34">
        <f>J$9*F6</f>
        <v>9.4193606715895203E-2</v>
      </c>
      <c r="H6" s="34">
        <f>K$9*F6</f>
        <v>7.797820295253311E-4</v>
      </c>
      <c r="I6" s="34">
        <f>L$9*E6</f>
        <v>5.8887530350518393E-2</v>
      </c>
      <c r="J6" s="64"/>
      <c r="K6" s="64"/>
      <c r="L6" s="64"/>
      <c r="N6" s="60">
        <v>897254993</v>
      </c>
      <c r="O6" s="66">
        <f t="shared" ref="O6:O69" si="5">(G6/N6)*10^9</f>
        <v>0.10497975207800846</v>
      </c>
      <c r="P6" s="66">
        <f t="shared" ref="P6:P69" si="6">(H6/N6)*10^9</f>
        <v>8.690751632577776E-4</v>
      </c>
      <c r="Q6" s="66">
        <f>(I6/N6)*10^9</f>
        <v>6.5630763617849697E-2</v>
      </c>
      <c r="R6" s="69">
        <v>5.6099999999999999E-8</v>
      </c>
      <c r="S6" s="69">
        <v>6.1200000000000005E-8</v>
      </c>
      <c r="T6" s="69">
        <v>6.6300000000000005E-8</v>
      </c>
      <c r="U6" s="59">
        <f t="shared" si="1"/>
        <v>5.2842613367617206</v>
      </c>
      <c r="V6" s="59">
        <f t="shared" si="2"/>
        <v>4.7722660206950263E-2</v>
      </c>
      <c r="W6" s="59">
        <f t="shared" si="3"/>
        <v>3.9042432622393699</v>
      </c>
      <c r="X6" s="59">
        <f t="shared" si="4"/>
        <v>5.889364091576274E-9</v>
      </c>
      <c r="Y6" s="59">
        <f t="shared" si="0"/>
        <v>5.3187399991375994E-11</v>
      </c>
      <c r="Z6" s="59">
        <f t="shared" si="0"/>
        <v>4.3513196278634355E-9</v>
      </c>
      <c r="AA6" s="59"/>
    </row>
    <row r="7" spans="1:99" s="33" customFormat="1" ht="19" x14ac:dyDescent="0.25">
      <c r="A7" s="33" t="s">
        <v>84</v>
      </c>
      <c r="B7" s="37">
        <v>38021</v>
      </c>
      <c r="C7" s="36">
        <v>70957</v>
      </c>
      <c r="D7" s="36">
        <v>468470</v>
      </c>
      <c r="E7" s="35">
        <f>(C7+B7)/SUM(B$5:C$9)</f>
        <v>2.7456008044370005E-3</v>
      </c>
      <c r="F7" s="35">
        <f>D7/SUM(D$5:D$9)</f>
        <v>0.18403539048446638</v>
      </c>
      <c r="G7" s="34">
        <f>J$9*F7</f>
        <v>2.2878580410545021E-2</v>
      </c>
      <c r="H7" s="34">
        <f>K$9*F7</f>
        <v>1.8940039018786953E-4</v>
      </c>
      <c r="I7" s="34">
        <f>L$9*E7</f>
        <v>1.7658125653676211E-4</v>
      </c>
      <c r="J7" s="64"/>
      <c r="K7" s="64"/>
      <c r="L7" s="64"/>
      <c r="N7" s="60">
        <v>5200357</v>
      </c>
      <c r="O7" s="66">
        <f>(G7/N7)*10^9</f>
        <v>4.3994249645832051</v>
      </c>
      <c r="P7" s="66">
        <f t="shared" si="6"/>
        <v>3.6420651541397932E-2</v>
      </c>
      <c r="Q7" s="66">
        <f t="shared" ref="Q7:Q70" si="7">(I7/N7)*10^9</f>
        <v>3.3955602766648926E-2</v>
      </c>
      <c r="R7" s="69">
        <v>5.6099999999999999E-8</v>
      </c>
      <c r="S7" s="69">
        <v>6.1200000000000005E-8</v>
      </c>
      <c r="T7" s="69">
        <v>6.6300000000000005E-8</v>
      </c>
      <c r="U7" s="59">
        <f t="shared" si="1"/>
        <v>1.2834883610315757</v>
      </c>
      <c r="V7" s="59">
        <f t="shared" si="2"/>
        <v>1.1591303879497616E-2</v>
      </c>
      <c r="W7" s="59">
        <f t="shared" si="3"/>
        <v>1.170733730838733E-2</v>
      </c>
      <c r="X7" s="59">
        <f t="shared" si="4"/>
        <v>2.4680774051311782E-7</v>
      </c>
      <c r="Y7" s="59">
        <f t="shared" si="0"/>
        <v>2.2289438743335538E-9</v>
      </c>
      <c r="Z7" s="59">
        <f t="shared" si="0"/>
        <v>2.251256463428824E-9</v>
      </c>
      <c r="AA7" s="59"/>
    </row>
    <row r="8" spans="1:99" s="33" customFormat="1" ht="19" x14ac:dyDescent="0.25">
      <c r="A8" s="33" t="s">
        <v>83</v>
      </c>
      <c r="B8" s="37">
        <v>83971</v>
      </c>
      <c r="C8" s="36">
        <v>2142406</v>
      </c>
      <c r="D8" s="36">
        <v>109070</v>
      </c>
      <c r="E8" s="35">
        <f>(C8+B8)/SUM(B$5:C$9)</f>
        <v>5.6091527484263208E-2</v>
      </c>
      <c r="F8" s="35">
        <f>D8/SUM(D$5:D$9)</f>
        <v>4.2847439622901676E-2</v>
      </c>
      <c r="G8" s="34">
        <f>J$9*F8</f>
        <v>5.326630873648569E-3</v>
      </c>
      <c r="H8" s="34">
        <f>K$9*F8</f>
        <v>4.4096528182788508E-5</v>
      </c>
      <c r="I8" s="34">
        <f>L$9*E8</f>
        <v>3.6074845215047697E-3</v>
      </c>
      <c r="J8" s="64"/>
      <c r="K8" s="64"/>
      <c r="L8" s="64"/>
      <c r="N8" s="60">
        <v>12021631</v>
      </c>
      <c r="O8" s="66">
        <f t="shared" si="5"/>
        <v>0.44308720452728662</v>
      </c>
      <c r="P8" s="66">
        <f>(H8/N8)*10^9</f>
        <v>3.6680986284463825E-3</v>
      </c>
      <c r="Q8" s="66">
        <f>(I8/N8)*10^9</f>
        <v>0.30008278589691945</v>
      </c>
      <c r="R8" s="69">
        <v>5.6099999999999999E-8</v>
      </c>
      <c r="S8" s="69">
        <v>6.1200000000000005E-8</v>
      </c>
      <c r="T8" s="69">
        <v>6.6300000000000005E-8</v>
      </c>
      <c r="U8" s="59">
        <f t="shared" si="1"/>
        <v>0.29882399201168475</v>
      </c>
      <c r="V8" s="59">
        <f t="shared" si="2"/>
        <v>2.6987075247866571E-3</v>
      </c>
      <c r="W8" s="59">
        <f t="shared" si="3"/>
        <v>0.23917622377576625</v>
      </c>
      <c r="X8" s="59">
        <f t="shared" si="4"/>
        <v>2.485719217398078E-8</v>
      </c>
      <c r="Y8" s="59">
        <f t="shared" si="0"/>
        <v>2.2448763606091862E-10</v>
      </c>
      <c r="Z8" s="59">
        <f t="shared" si="0"/>
        <v>1.989548870496576E-8</v>
      </c>
      <c r="AA8" s="59"/>
    </row>
    <row r="9" spans="1:99" s="33" customFormat="1" ht="19" x14ac:dyDescent="0.25">
      <c r="A9" s="33" t="s">
        <v>82</v>
      </c>
      <c r="B9" s="37">
        <v>275994</v>
      </c>
      <c r="C9" s="36">
        <v>737736</v>
      </c>
      <c r="D9" s="36">
        <v>39227</v>
      </c>
      <c r="E9" s="35">
        <f>(C9+B9)/SUM(B$5:C$9)</f>
        <v>2.5539998013194596E-2</v>
      </c>
      <c r="F9" s="35">
        <f>D9/SUM(D$5:D$9)</f>
        <v>1.5410071642867553E-2</v>
      </c>
      <c r="G9" s="34">
        <f>J$9*F9</f>
        <v>1.9157215483690513E-3</v>
      </c>
      <c r="H9" s="34">
        <f>K$9*F9</f>
        <v>1.5859306051400428E-5</v>
      </c>
      <c r="I9" s="34">
        <f>L$9*E9</f>
        <v>1.6425858172200982E-3</v>
      </c>
      <c r="J9" s="73">
        <v>0.1243162</v>
      </c>
      <c r="K9" s="64">
        <v>1.029152E-3</v>
      </c>
      <c r="L9" s="64">
        <v>6.4314249999999906E-2</v>
      </c>
      <c r="N9" s="60">
        <v>5321595</v>
      </c>
      <c r="O9" s="66">
        <f t="shared" si="5"/>
        <v>0.35999010604321663</v>
      </c>
      <c r="P9" s="66">
        <f t="shared" si="6"/>
        <v>2.9801790725149939E-3</v>
      </c>
      <c r="Q9" s="66">
        <f t="shared" si="7"/>
        <v>0.30866419132235701</v>
      </c>
      <c r="R9" s="69">
        <v>5.6099999999999999E-8</v>
      </c>
      <c r="S9" s="69">
        <v>6.1200000000000005E-8</v>
      </c>
      <c r="T9" s="69">
        <v>6.6300000000000005E-8</v>
      </c>
      <c r="U9" s="59">
        <f t="shared" si="1"/>
        <v>0.10747197886350378</v>
      </c>
      <c r="V9" s="59">
        <f t="shared" si="2"/>
        <v>9.7058953034570637E-4</v>
      </c>
      <c r="W9" s="59">
        <f t="shared" si="3"/>
        <v>0.10890343968169253</v>
      </c>
      <c r="X9" s="59">
        <f t="shared" si="4"/>
        <v>2.0195444949024452E-8</v>
      </c>
      <c r="Y9" s="59">
        <f t="shared" si="0"/>
        <v>1.8238695923791765E-10</v>
      </c>
      <c r="Z9" s="59">
        <f t="shared" si="0"/>
        <v>2.0464435884672273E-8</v>
      </c>
      <c r="AA9" s="59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</row>
    <row r="10" spans="1:99" s="25" customFormat="1" ht="19" x14ac:dyDescent="0.25">
      <c r="A10" s="25" t="s">
        <v>81</v>
      </c>
      <c r="B10" s="31">
        <v>0</v>
      </c>
      <c r="C10" s="30">
        <v>596744</v>
      </c>
      <c r="D10" s="25">
        <v>862</v>
      </c>
      <c r="E10" s="29">
        <f t="shared" ref="E10:E32" si="8">(C10+B10)/SUM(B$10:C$32)</f>
        <v>1.715730126930833E-3</v>
      </c>
      <c r="F10" s="29">
        <f t="shared" ref="F10:F32" si="9">D10/SUM(D$10:D$32)</f>
        <v>6.1076577415978959E-5</v>
      </c>
      <c r="G10" s="28">
        <f t="shared" ref="G10:G32" si="10">(J$20+J$23+J$24+J$32)*F10</f>
        <v>5.4694864336248518E-5</v>
      </c>
      <c r="H10" s="27">
        <f t="shared" ref="H10:H32" si="11">F10*(K$20+K$23+K$24+K$32)</f>
        <v>8.857707718393048E-6</v>
      </c>
      <c r="I10" s="3">
        <f t="shared" ref="I10:I32" si="12">E10*(L$20+L$24+L$32)</f>
        <v>3.0214254609312041E-3</v>
      </c>
      <c r="J10" s="64"/>
      <c r="K10" s="64"/>
      <c r="L10" s="64"/>
      <c r="N10" s="27">
        <v>101830733</v>
      </c>
      <c r="O10" s="66">
        <f t="shared" si="5"/>
        <v>5.3711549278790435E-4</v>
      </c>
      <c r="P10" s="66">
        <f t="shared" si="6"/>
        <v>8.6984621021956576E-5</v>
      </c>
      <c r="Q10" s="66">
        <f t="shared" si="7"/>
        <v>2.9671056781366823E-2</v>
      </c>
      <c r="R10" s="69">
        <v>5.6099999999999999E-8</v>
      </c>
      <c r="S10" s="69">
        <v>6.1200000000000005E-8</v>
      </c>
      <c r="T10" s="69">
        <v>6.6300000000000005E-8</v>
      </c>
      <c r="U10" s="59">
        <f t="shared" si="1"/>
        <v>3.0683818892635419E-3</v>
      </c>
      <c r="V10" s="59">
        <f t="shared" si="2"/>
        <v>5.4209171236565461E-4</v>
      </c>
      <c r="W10" s="59">
        <f t="shared" si="3"/>
        <v>0.20032050805973886</v>
      </c>
      <c r="X10" s="59">
        <f t="shared" si="4"/>
        <v>3.0132179145401434E-11</v>
      </c>
      <c r="Y10" s="59">
        <f t="shared" si="0"/>
        <v>5.3234588065437432E-12</v>
      </c>
      <c r="Z10" s="59">
        <f t="shared" si="0"/>
        <v>1.9671910646046207E-9</v>
      </c>
      <c r="AA10" s="59"/>
    </row>
    <row r="11" spans="1:99" s="25" customFormat="1" ht="19" x14ac:dyDescent="0.25">
      <c r="A11" s="25" t="s">
        <v>80</v>
      </c>
      <c r="B11" s="31">
        <v>0</v>
      </c>
      <c r="C11" s="30">
        <v>240532</v>
      </c>
      <c r="D11" s="30">
        <v>12607</v>
      </c>
      <c r="E11" s="29">
        <f t="shared" si="8"/>
        <v>6.9156623089788438E-4</v>
      </c>
      <c r="F11" s="29">
        <f t="shared" si="9"/>
        <v>8.9326265833323301E-4</v>
      </c>
      <c r="G11" s="28">
        <f t="shared" si="10"/>
        <v>7.9992825369731466E-4</v>
      </c>
      <c r="H11" s="27">
        <f t="shared" si="11"/>
        <v>1.2954654432225195E-4</v>
      </c>
      <c r="I11" s="3">
        <f t="shared" si="12"/>
        <v>1.2178580915245137E-3</v>
      </c>
      <c r="J11" s="64"/>
      <c r="K11" s="64"/>
      <c r="L11" s="64"/>
      <c r="N11" s="27">
        <v>14177238</v>
      </c>
      <c r="O11" s="66">
        <f t="shared" si="5"/>
        <v>5.642341997061167E-2</v>
      </c>
      <c r="P11" s="66">
        <f t="shared" si="6"/>
        <v>9.1376433352005487E-3</v>
      </c>
      <c r="Q11" s="66">
        <f t="shared" si="7"/>
        <v>8.5902352173569618E-2</v>
      </c>
      <c r="R11" s="69">
        <v>5.6099999999999999E-8</v>
      </c>
      <c r="S11" s="69">
        <v>6.1200000000000005E-8</v>
      </c>
      <c r="T11" s="69">
        <v>6.6300000000000005E-8</v>
      </c>
      <c r="U11" s="59">
        <f t="shared" si="1"/>
        <v>4.4875975032419357E-2</v>
      </c>
      <c r="V11" s="59">
        <f t="shared" si="2"/>
        <v>7.9282485125218207E-3</v>
      </c>
      <c r="W11" s="59">
        <f t="shared" si="3"/>
        <v>8.074399146807526E-2</v>
      </c>
      <c r="X11" s="59">
        <f t="shared" si="4"/>
        <v>3.1653538603513146E-9</v>
      </c>
      <c r="Y11" s="59">
        <f t="shared" si="0"/>
        <v>5.5922377211427365E-10</v>
      </c>
      <c r="Z11" s="59">
        <f t="shared" si="0"/>
        <v>5.6953259491076661E-9</v>
      </c>
      <c r="AA11" s="59"/>
    </row>
    <row r="12" spans="1:99" s="25" customFormat="1" ht="19" x14ac:dyDescent="0.25">
      <c r="A12" s="25" t="s">
        <v>79</v>
      </c>
      <c r="B12" s="31">
        <v>0</v>
      </c>
      <c r="C12" s="30">
        <v>2762</v>
      </c>
      <c r="D12" s="25">
        <v>121</v>
      </c>
      <c r="E12" s="29">
        <f t="shared" si="8"/>
        <v>7.9411717764786248E-6</v>
      </c>
      <c r="F12" s="29">
        <f t="shared" si="9"/>
        <v>8.5733942776490198E-6</v>
      </c>
      <c r="G12" s="28">
        <f t="shared" si="10"/>
        <v>7.6775853650650489E-6</v>
      </c>
      <c r="H12" s="27">
        <f t="shared" si="11"/>
        <v>1.2433673247396276E-6</v>
      </c>
      <c r="I12" s="3">
        <f t="shared" si="12"/>
        <v>1.3984517855381849E-5</v>
      </c>
      <c r="J12" s="64"/>
      <c r="K12" s="64"/>
      <c r="L12" s="64"/>
      <c r="N12" s="27">
        <v>108027</v>
      </c>
      <c r="O12" s="66">
        <f t="shared" si="5"/>
        <v>7.1070985633823469E-2</v>
      </c>
      <c r="P12" s="66">
        <f t="shared" si="6"/>
        <v>1.1509782968513682E-2</v>
      </c>
      <c r="Q12" s="66">
        <f t="shared" si="7"/>
        <v>0.1294539129604807</v>
      </c>
      <c r="R12" s="69">
        <v>5.6099999999999999E-8</v>
      </c>
      <c r="S12" s="69">
        <v>6.1200000000000005E-8</v>
      </c>
      <c r="T12" s="69">
        <v>6.6300000000000005E-8</v>
      </c>
      <c r="U12" s="59">
        <f t="shared" si="1"/>
        <v>4.3071253898014923E-4</v>
      </c>
      <c r="V12" s="59">
        <f t="shared" si="2"/>
        <v>7.6094080274065221E-5</v>
      </c>
      <c r="W12" s="59">
        <f t="shared" si="3"/>
        <v>9.2717353381181668E-4</v>
      </c>
      <c r="X12" s="59">
        <f t="shared" si="4"/>
        <v>3.9870822940574966E-9</v>
      </c>
      <c r="Y12" s="59">
        <f t="shared" si="0"/>
        <v>7.0439871767303739E-10</v>
      </c>
      <c r="Z12" s="59">
        <f t="shared" si="0"/>
        <v>8.5827944292798714E-9</v>
      </c>
      <c r="AA12" s="59"/>
    </row>
    <row r="13" spans="1:99" s="25" customFormat="1" ht="19" x14ac:dyDescent="0.25">
      <c r="A13" s="25" t="s">
        <v>78</v>
      </c>
      <c r="B13" s="31">
        <v>0</v>
      </c>
      <c r="C13" s="30">
        <v>449043</v>
      </c>
      <c r="D13" s="30">
        <v>6139</v>
      </c>
      <c r="E13" s="29">
        <f t="shared" si="8"/>
        <v>1.2910671969678825E-3</v>
      </c>
      <c r="F13" s="29">
        <f t="shared" si="9"/>
        <v>4.3497576421890353E-4</v>
      </c>
      <c r="G13" s="28">
        <f t="shared" si="10"/>
        <v>3.8952641781929198E-4</v>
      </c>
      <c r="H13" s="27">
        <f t="shared" si="11"/>
        <v>6.3082909145260936E-5</v>
      </c>
      <c r="I13" s="3">
        <f t="shared" si="12"/>
        <v>2.2735879258994323E-3</v>
      </c>
      <c r="J13" s="64"/>
      <c r="K13" s="64"/>
      <c r="L13" s="64"/>
      <c r="N13" s="27">
        <v>12837289</v>
      </c>
      <c r="O13" s="66">
        <f t="shared" si="5"/>
        <v>3.0343355035420017E-2</v>
      </c>
      <c r="P13" s="66">
        <f t="shared" si="6"/>
        <v>4.9140366899320361E-3</v>
      </c>
      <c r="Q13" s="66">
        <f t="shared" si="7"/>
        <v>0.17710810482644992</v>
      </c>
      <c r="R13" s="69">
        <v>5.6099999999999999E-8</v>
      </c>
      <c r="S13" s="69">
        <v>6.1200000000000005E-8</v>
      </c>
      <c r="T13" s="69">
        <v>6.6300000000000005E-8</v>
      </c>
      <c r="U13" s="59">
        <f t="shared" si="1"/>
        <v>2.1852432039662278E-2</v>
      </c>
      <c r="V13" s="59">
        <f t="shared" si="2"/>
        <v>3.8606740396899698E-3</v>
      </c>
      <c r="W13" s="59">
        <f t="shared" si="3"/>
        <v>0.15073887948713238</v>
      </c>
      <c r="X13" s="59">
        <f t="shared" si="4"/>
        <v>1.702262217487063E-9</v>
      </c>
      <c r="Y13" s="59">
        <f t="shared" si="0"/>
        <v>3.0073904542384065E-10</v>
      </c>
      <c r="Z13" s="59">
        <f t="shared" si="0"/>
        <v>1.1742267349993631E-8</v>
      </c>
      <c r="AA13" s="59"/>
    </row>
    <row r="14" spans="1:99" s="25" customFormat="1" ht="19" x14ac:dyDescent="0.25">
      <c r="A14" s="25" t="s">
        <v>77</v>
      </c>
      <c r="B14" s="31">
        <v>0</v>
      </c>
      <c r="C14" s="30">
        <v>326867</v>
      </c>
      <c r="D14" s="30">
        <v>7009</v>
      </c>
      <c r="E14" s="29">
        <f t="shared" si="8"/>
        <v>9.3979253984874682E-4</v>
      </c>
      <c r="F14" s="29">
        <f t="shared" si="9"/>
        <v>4.9661917762018159E-4</v>
      </c>
      <c r="G14" s="28">
        <f t="shared" si="10"/>
        <v>4.4472889110529684E-4</v>
      </c>
      <c r="H14" s="27">
        <f t="shared" si="11"/>
        <v>7.2022822967769001E-5</v>
      </c>
      <c r="I14" s="3">
        <f t="shared" si="12"/>
        <v>1.654988196174909E-3</v>
      </c>
      <c r="J14" s="64"/>
      <c r="K14" s="64"/>
      <c r="L14" s="64"/>
      <c r="N14" s="27">
        <v>12335586</v>
      </c>
      <c r="O14" s="66">
        <f t="shared" si="5"/>
        <v>3.6052514335784033E-2</v>
      </c>
      <c r="P14" s="66">
        <f t="shared" si="6"/>
        <v>5.8386219323321165E-3</v>
      </c>
      <c r="Q14" s="66">
        <f t="shared" si="7"/>
        <v>0.13416372729880113</v>
      </c>
      <c r="R14" s="69">
        <v>5.6099999999999999E-8</v>
      </c>
      <c r="S14" s="69">
        <v>6.1200000000000005E-8</v>
      </c>
      <c r="T14" s="69">
        <v>6.6300000000000005E-8</v>
      </c>
      <c r="U14" s="59">
        <f t="shared" si="1"/>
        <v>2.4949290791007155E-2</v>
      </c>
      <c r="V14" s="59">
        <f t="shared" si="2"/>
        <v>4.4077967656274636E-3</v>
      </c>
      <c r="W14" s="59">
        <f t="shared" si="3"/>
        <v>0.10972571740639649</v>
      </c>
      <c r="X14" s="59">
        <f t="shared" si="4"/>
        <v>2.0225460542374843E-9</v>
      </c>
      <c r="Y14" s="59">
        <f t="shared" si="0"/>
        <v>3.5732366225872557E-10</v>
      </c>
      <c r="Z14" s="59">
        <f t="shared" si="0"/>
        <v>8.8950551199105159E-9</v>
      </c>
      <c r="AA14" s="59"/>
    </row>
    <row r="15" spans="1:99" s="25" customFormat="1" ht="19" x14ac:dyDescent="0.25">
      <c r="A15" s="25" t="s">
        <v>76</v>
      </c>
      <c r="B15" s="31">
        <v>0</v>
      </c>
      <c r="C15" s="30">
        <v>69584</v>
      </c>
      <c r="D15" s="25">
        <v>228</v>
      </c>
      <c r="E15" s="29">
        <f t="shared" si="8"/>
        <v>2.0006462595745423E-4</v>
      </c>
      <c r="F15" s="29">
        <f t="shared" si="9"/>
        <v>1.61548255810246E-5</v>
      </c>
      <c r="G15" s="28">
        <f t="shared" si="10"/>
        <v>1.4466855068056455E-5</v>
      </c>
      <c r="H15" s="27">
        <f t="shared" si="11"/>
        <v>2.342873967277976E-6</v>
      </c>
      <c r="I15" s="3">
        <f t="shared" si="12"/>
        <v>3.5231668734572426E-4</v>
      </c>
      <c r="J15" s="64"/>
      <c r="K15" s="64"/>
      <c r="L15" s="64"/>
      <c r="N15" s="27">
        <v>715787</v>
      </c>
      <c r="O15" s="66">
        <f t="shared" si="5"/>
        <v>2.0211117368793309E-2</v>
      </c>
      <c r="P15" s="66">
        <f t="shared" si="6"/>
        <v>3.2731440600038504E-3</v>
      </c>
      <c r="Q15" s="66">
        <f t="shared" si="7"/>
        <v>0.49220883774883345</v>
      </c>
      <c r="R15" s="69">
        <v>5.6099999999999999E-8</v>
      </c>
      <c r="S15" s="69">
        <v>6.1200000000000005E-8</v>
      </c>
      <c r="T15" s="69">
        <v>6.6300000000000005E-8</v>
      </c>
      <c r="U15" s="59">
        <f t="shared" si="1"/>
        <v>8.1159056931796717E-4</v>
      </c>
      <c r="V15" s="59">
        <f t="shared" si="2"/>
        <v>1.4338388679741213E-4</v>
      </c>
      <c r="W15" s="59">
        <f t="shared" si="3"/>
        <v>2.3358596371021518E-2</v>
      </c>
      <c r="X15" s="59">
        <f t="shared" si="4"/>
        <v>1.1338436843893046E-9</v>
      </c>
      <c r="Y15" s="59">
        <f t="shared" si="0"/>
        <v>2.0031641647223567E-10</v>
      </c>
      <c r="Z15" s="59">
        <f t="shared" si="0"/>
        <v>3.2633445942747662E-8</v>
      </c>
      <c r="AA15" s="59"/>
    </row>
    <row r="16" spans="1:99" s="25" customFormat="1" ht="19" x14ac:dyDescent="0.25">
      <c r="A16" s="25" t="s">
        <v>75</v>
      </c>
      <c r="B16" s="31">
        <v>0</v>
      </c>
      <c r="C16" s="30">
        <v>489950</v>
      </c>
      <c r="D16" s="30">
        <v>71452</v>
      </c>
      <c r="E16" s="29">
        <f t="shared" si="8"/>
        <v>1.408681068749349E-3</v>
      </c>
      <c r="F16" s="29">
        <f t="shared" si="9"/>
        <v>5.0626956026989895E-3</v>
      </c>
      <c r="G16" s="28">
        <f t="shared" si="10"/>
        <v>4.5337093347489902E-3</v>
      </c>
      <c r="H16" s="27">
        <f t="shared" si="11"/>
        <v>7.3422381890327168E-4</v>
      </c>
      <c r="I16" s="3">
        <f t="shared" si="12"/>
        <v>2.4807076478075077E-3</v>
      </c>
      <c r="J16" s="64"/>
      <c r="K16" s="64"/>
      <c r="L16" s="64"/>
      <c r="N16" s="27">
        <v>8848360</v>
      </c>
      <c r="O16" s="66">
        <f t="shared" si="5"/>
        <v>0.5123784898838869</v>
      </c>
      <c r="P16" s="66">
        <f t="shared" si="6"/>
        <v>8.2978520189421728E-2</v>
      </c>
      <c r="Q16" s="66">
        <f t="shared" si="7"/>
        <v>0.28035790223357865</v>
      </c>
      <c r="R16" s="69">
        <v>5.6099999999999999E-8</v>
      </c>
      <c r="S16" s="69">
        <v>6.1200000000000005E-8</v>
      </c>
      <c r="T16" s="69">
        <v>6.6300000000000005E-8</v>
      </c>
      <c r="U16" s="59">
        <f t="shared" si="1"/>
        <v>0.25434109367941832</v>
      </c>
      <c r="V16" s="59">
        <f t="shared" si="2"/>
        <v>4.4934497716880233E-2</v>
      </c>
      <c r="W16" s="59">
        <f t="shared" si="3"/>
        <v>0.16447091704963776</v>
      </c>
      <c r="X16" s="59">
        <f t="shared" si="4"/>
        <v>2.8744433282486055E-8</v>
      </c>
      <c r="Y16" s="59">
        <f t="shared" si="0"/>
        <v>5.0782854355926099E-9</v>
      </c>
      <c r="Z16" s="59">
        <f t="shared" si="0"/>
        <v>1.8587728918086266E-8</v>
      </c>
      <c r="AA16" s="59"/>
    </row>
    <row r="17" spans="1:99" s="25" customFormat="1" ht="19" x14ac:dyDescent="0.25">
      <c r="A17" s="25" t="s">
        <v>74</v>
      </c>
      <c r="B17" s="31">
        <v>0</v>
      </c>
      <c r="C17" s="30">
        <v>249792</v>
      </c>
      <c r="D17" s="30">
        <v>77593</v>
      </c>
      <c r="E17" s="29">
        <f t="shared" si="8"/>
        <v>7.1819014496384817E-4</v>
      </c>
      <c r="F17" s="29">
        <f t="shared" si="9"/>
        <v>5.4978130759142175E-3</v>
      </c>
      <c r="G17" s="28">
        <f t="shared" si="10"/>
        <v>4.9233626548057206E-3</v>
      </c>
      <c r="H17" s="27">
        <f t="shared" si="11"/>
        <v>7.9732727957456133E-4</v>
      </c>
      <c r="I17" s="3">
        <f t="shared" si="12"/>
        <v>1.2647431875928829E-3</v>
      </c>
      <c r="J17" s="64"/>
      <c r="K17" s="64"/>
      <c r="L17" s="64"/>
      <c r="N17" s="27">
        <v>20832420</v>
      </c>
      <c r="O17" s="66">
        <f t="shared" si="5"/>
        <v>0.23633176821539317</v>
      </c>
      <c r="P17" s="66">
        <f t="shared" si="6"/>
        <v>3.8273387324879268E-2</v>
      </c>
      <c r="Q17" s="66">
        <f t="shared" si="7"/>
        <v>6.0710334545524852E-2</v>
      </c>
      <c r="R17" s="69">
        <v>5.6099999999999999E-8</v>
      </c>
      <c r="S17" s="69">
        <v>6.1200000000000005E-8</v>
      </c>
      <c r="T17" s="69">
        <v>6.6300000000000005E-8</v>
      </c>
      <c r="U17" s="59">
        <f t="shared" si="1"/>
        <v>0.27620064493460095</v>
      </c>
      <c r="V17" s="59">
        <f t="shared" si="2"/>
        <v>4.8796429509963157E-2</v>
      </c>
      <c r="W17" s="59">
        <f t="shared" si="3"/>
        <v>8.3852473337408154E-2</v>
      </c>
      <c r="X17" s="59">
        <f t="shared" si="4"/>
        <v>1.3258212196883557E-8</v>
      </c>
      <c r="Y17" s="59">
        <f t="shared" si="0"/>
        <v>2.3423313042826115E-9</v>
      </c>
      <c r="Z17" s="59">
        <f t="shared" si="0"/>
        <v>4.0250951803682977E-9</v>
      </c>
      <c r="AA17" s="59"/>
    </row>
    <row r="18" spans="1:99" s="25" customFormat="1" ht="19" x14ac:dyDescent="0.25">
      <c r="A18" s="25" t="s">
        <v>73</v>
      </c>
      <c r="B18" s="31">
        <v>0</v>
      </c>
      <c r="C18" s="30">
        <v>250082</v>
      </c>
      <c r="D18" s="30">
        <v>251681</v>
      </c>
      <c r="E18" s="29">
        <f t="shared" si="8"/>
        <v>7.1902393924885139E-4</v>
      </c>
      <c r="F18" s="29">
        <f t="shared" si="9"/>
        <v>1.7832730952008123E-2</v>
      </c>
      <c r="G18" s="28">
        <f t="shared" si="10"/>
        <v>1.596944101045402E-2</v>
      </c>
      <c r="H18" s="27">
        <f t="shared" si="11"/>
        <v>2.58621431122144E-3</v>
      </c>
      <c r="I18" s="3">
        <f t="shared" si="12"/>
        <v>1.2662115113358449E-3</v>
      </c>
      <c r="J18" s="64"/>
      <c r="K18" s="64"/>
      <c r="L18" s="64"/>
      <c r="N18" s="27">
        <v>9124131</v>
      </c>
      <c r="O18" s="66">
        <f t="shared" si="5"/>
        <v>1.7502424077924814</v>
      </c>
      <c r="P18" s="66">
        <f t="shared" si="6"/>
        <v>0.2834477399789021</v>
      </c>
      <c r="Q18" s="66">
        <f t="shared" si="7"/>
        <v>0.13877612140113341</v>
      </c>
      <c r="R18" s="69">
        <v>5.6099999999999999E-8</v>
      </c>
      <c r="S18" s="69">
        <v>6.1200000000000005E-8</v>
      </c>
      <c r="T18" s="69">
        <v>6.6300000000000005E-8</v>
      </c>
      <c r="U18" s="59">
        <f t="shared" si="1"/>
        <v>0.89588564068647059</v>
      </c>
      <c r="V18" s="59">
        <f t="shared" si="2"/>
        <v>0.15827631584675214</v>
      </c>
      <c r="W18" s="59">
        <f t="shared" si="3"/>
        <v>8.394982320156652E-2</v>
      </c>
      <c r="X18" s="59">
        <f t="shared" si="4"/>
        <v>9.8188599077158211E-8</v>
      </c>
      <c r="Y18" s="59">
        <f t="shared" si="4"/>
        <v>1.7347001686708811E-8</v>
      </c>
      <c r="Z18" s="59">
        <f t="shared" si="4"/>
        <v>9.2008568488951454E-9</v>
      </c>
      <c r="AA18" s="59"/>
    </row>
    <row r="19" spans="1:99" s="25" customFormat="1" ht="19" x14ac:dyDescent="0.25">
      <c r="A19" s="25" t="s">
        <v>72</v>
      </c>
      <c r="B19" s="32">
        <v>196494195</v>
      </c>
      <c r="C19" s="30">
        <v>34893063</v>
      </c>
      <c r="D19" s="30">
        <v>5210529</v>
      </c>
      <c r="E19" s="29">
        <f t="shared" si="8"/>
        <v>0.66527370118261331</v>
      </c>
      <c r="F19" s="29">
        <f t="shared" si="9"/>
        <v>0.36918941745557243</v>
      </c>
      <c r="G19" s="28">
        <f t="shared" si="10"/>
        <v>0.33061389417063652</v>
      </c>
      <c r="H19" s="27">
        <f t="shared" si="11"/>
        <v>5.354216118353923E-2</v>
      </c>
      <c r="I19" s="3">
        <f t="shared" si="12"/>
        <v>1.1715565680698212</v>
      </c>
      <c r="J19" s="64"/>
      <c r="K19" s="64"/>
      <c r="L19" s="64"/>
      <c r="N19" s="27">
        <v>471268975</v>
      </c>
      <c r="O19" s="66">
        <f t="shared" si="5"/>
        <v>0.70153969751697864</v>
      </c>
      <c r="P19" s="66">
        <f t="shared" si="6"/>
        <v>0.11361274351560958</v>
      </c>
      <c r="Q19" s="66">
        <f t="shared" si="7"/>
        <v>2.4859615850371251</v>
      </c>
      <c r="R19" s="69">
        <v>5.6099999999999999E-8</v>
      </c>
      <c r="S19" s="69">
        <v>6.1200000000000005E-8</v>
      </c>
      <c r="T19" s="69">
        <v>6.6300000000000005E-8</v>
      </c>
      <c r="U19" s="59">
        <f t="shared" si="1"/>
        <v>18.547439462972708</v>
      </c>
      <c r="V19" s="59">
        <f t="shared" si="2"/>
        <v>3.2767802644326012</v>
      </c>
      <c r="W19" s="59">
        <f t="shared" si="3"/>
        <v>77.674200463029152</v>
      </c>
      <c r="X19" s="59">
        <f t="shared" si="4"/>
        <v>3.9356377030702499E-8</v>
      </c>
      <c r="Y19" s="59">
        <f t="shared" si="4"/>
        <v>6.9530999031553076E-9</v>
      </c>
      <c r="Z19" s="59">
        <f t="shared" si="4"/>
        <v>1.6481925308796141E-7</v>
      </c>
      <c r="AA19" s="59"/>
    </row>
    <row r="20" spans="1:99" s="25" customFormat="1" ht="19" x14ac:dyDescent="0.25">
      <c r="A20" s="25" t="s">
        <v>71</v>
      </c>
      <c r="B20" s="32">
        <v>62287189</v>
      </c>
      <c r="C20" s="30">
        <v>23822942</v>
      </c>
      <c r="D20" s="30">
        <v>6303780</v>
      </c>
      <c r="E20" s="29">
        <f t="shared" si="8"/>
        <v>0.24757977623681285</v>
      </c>
      <c r="F20" s="29">
        <f t="shared" si="9"/>
        <v>0.44665116842610197</v>
      </c>
      <c r="G20" s="28">
        <f t="shared" si="10"/>
        <v>0.3999818931618988</v>
      </c>
      <c r="H20" s="27">
        <f t="shared" si="11"/>
        <v>6.4776149374769998E-2</v>
      </c>
      <c r="I20" s="3">
        <f t="shared" si="12"/>
        <v>0.43599155123054673</v>
      </c>
      <c r="J20" s="74">
        <v>0.6361464</v>
      </c>
      <c r="K20" s="74">
        <v>3.4807789999999998E-2</v>
      </c>
      <c r="L20" s="74">
        <v>0.55940500000000004</v>
      </c>
      <c r="M20" s="26">
        <f t="shared" ref="M20:M45" si="13">SUM(J20:L20)</f>
        <v>1.2303591900000002</v>
      </c>
      <c r="N20" s="27">
        <v>231087947</v>
      </c>
      <c r="O20" s="66">
        <f t="shared" si="5"/>
        <v>1.7308643672441246</v>
      </c>
      <c r="P20" s="66">
        <f t="shared" si="6"/>
        <v>0.28030951079750599</v>
      </c>
      <c r="Q20" s="66">
        <f t="shared" si="7"/>
        <v>1.886691006132599</v>
      </c>
      <c r="R20" s="69">
        <v>5.6099999999999999E-8</v>
      </c>
      <c r="S20" s="69">
        <v>6.1200000000000005E-8</v>
      </c>
      <c r="T20" s="69">
        <v>6.6300000000000005E-8</v>
      </c>
      <c r="U20" s="59">
        <f t="shared" si="1"/>
        <v>22.438984206382525</v>
      </c>
      <c r="V20" s="59">
        <f t="shared" si="2"/>
        <v>3.9643003417359246</v>
      </c>
      <c r="W20" s="59">
        <f t="shared" si="3"/>
        <v>28.906239846585251</v>
      </c>
      <c r="X20" s="59">
        <f t="shared" si="4"/>
        <v>9.7101491002395394E-8</v>
      </c>
      <c r="Y20" s="59">
        <f t="shared" si="4"/>
        <v>1.7154942060807369E-8</v>
      </c>
      <c r="Z20" s="59">
        <f t="shared" si="4"/>
        <v>1.2508761370659132E-7</v>
      </c>
      <c r="AA20" s="59"/>
    </row>
    <row r="21" spans="1:99" s="25" customFormat="1" ht="19" x14ac:dyDescent="0.25">
      <c r="A21" s="25" t="s">
        <v>70</v>
      </c>
      <c r="B21" s="31">
        <v>247</v>
      </c>
      <c r="C21" s="30">
        <v>260617</v>
      </c>
      <c r="D21" s="30">
        <v>11859</v>
      </c>
      <c r="E21" s="29">
        <f t="shared" si="8"/>
        <v>7.5002383573472844E-4</v>
      </c>
      <c r="F21" s="29">
        <f t="shared" si="9"/>
        <v>8.4026349370776624E-4</v>
      </c>
      <c r="G21" s="28">
        <f t="shared" si="10"/>
        <v>7.5246681689509424E-4</v>
      </c>
      <c r="H21" s="27">
        <f t="shared" si="11"/>
        <v>1.2186027358749787E-4</v>
      </c>
      <c r="I21" s="3">
        <f t="shared" si="12"/>
        <v>1.3208027754621036E-3</v>
      </c>
      <c r="J21" s="64"/>
      <c r="K21" s="64"/>
      <c r="L21" s="64"/>
      <c r="M21" s="26">
        <f t="shared" si="13"/>
        <v>0</v>
      </c>
      <c r="N21" s="27">
        <v>5919156</v>
      </c>
      <c r="O21" s="66">
        <f t="shared" si="5"/>
        <v>0.12712400499245066</v>
      </c>
      <c r="P21" s="66">
        <f t="shared" si="6"/>
        <v>2.0587440774917549E-2</v>
      </c>
      <c r="Q21" s="66">
        <f t="shared" si="7"/>
        <v>0.22314038951872592</v>
      </c>
      <c r="R21" s="69">
        <v>5.6099999999999999E-8</v>
      </c>
      <c r="S21" s="69">
        <v>6.1200000000000005E-8</v>
      </c>
      <c r="T21" s="69">
        <v>6.6300000000000005E-8</v>
      </c>
      <c r="U21" s="59">
        <f t="shared" si="1"/>
        <v>4.2213388427814788E-2</v>
      </c>
      <c r="V21" s="59">
        <f t="shared" si="2"/>
        <v>7.45784874355487E-3</v>
      </c>
      <c r="W21" s="59">
        <f t="shared" si="3"/>
        <v>8.7569224013137478E-2</v>
      </c>
      <c r="X21" s="59">
        <f t="shared" si="4"/>
        <v>7.1316566800764818E-9</v>
      </c>
      <c r="Y21" s="59">
        <f t="shared" si="4"/>
        <v>1.2599513754249541E-9</v>
      </c>
      <c r="Z21" s="59">
        <f t="shared" si="4"/>
        <v>1.479420782509153E-8</v>
      </c>
      <c r="AA21" s="59"/>
    </row>
    <row r="22" spans="1:99" s="25" customFormat="1" ht="19" x14ac:dyDescent="0.25">
      <c r="A22" s="25" t="s">
        <v>69</v>
      </c>
      <c r="B22" s="32">
        <v>1125</v>
      </c>
      <c r="C22" s="30">
        <v>4265132</v>
      </c>
      <c r="D22" s="30">
        <v>33249</v>
      </c>
      <c r="E22" s="29">
        <f t="shared" si="8"/>
        <v>1.2266140361913239E-2</v>
      </c>
      <c r="F22" s="29">
        <f t="shared" si="9"/>
        <v>2.3558412094012581E-3</v>
      </c>
      <c r="G22" s="28">
        <f t="shared" si="10"/>
        <v>2.1096862463061798E-3</v>
      </c>
      <c r="H22" s="27">
        <f t="shared" si="11"/>
        <v>3.4165884446502373E-4</v>
      </c>
      <c r="I22" s="3">
        <f t="shared" si="12"/>
        <v>2.1600849816128816E-2</v>
      </c>
      <c r="J22" s="64"/>
      <c r="K22" s="64"/>
      <c r="L22" s="64"/>
      <c r="M22" s="26">
        <f t="shared" si="13"/>
        <v>0</v>
      </c>
      <c r="N22" s="27">
        <v>22421928</v>
      </c>
      <c r="O22" s="66">
        <f t="shared" si="5"/>
        <v>9.4090314013414902E-2</v>
      </c>
      <c r="P22" s="66">
        <f t="shared" si="6"/>
        <v>1.5237710355016025E-2</v>
      </c>
      <c r="Q22" s="66">
        <f t="shared" si="7"/>
        <v>0.96338057173891634</v>
      </c>
      <c r="R22" s="69">
        <v>5.6099999999999999E-8</v>
      </c>
      <c r="S22" s="69">
        <v>6.1200000000000005E-8</v>
      </c>
      <c r="T22" s="69">
        <v>6.6300000000000005E-8</v>
      </c>
      <c r="U22" s="59">
        <f t="shared" si="1"/>
        <v>0.11835339841777669</v>
      </c>
      <c r="V22" s="59">
        <f t="shared" si="2"/>
        <v>2.0909521281259454E-2</v>
      </c>
      <c r="W22" s="59">
        <f t="shared" si="3"/>
        <v>1.4321363428093405</v>
      </c>
      <c r="X22" s="59">
        <f t="shared" si="4"/>
        <v>5.2784666161525759E-9</v>
      </c>
      <c r="Y22" s="59">
        <f t="shared" si="4"/>
        <v>9.3254787372698082E-10</v>
      </c>
      <c r="Z22" s="59">
        <f t="shared" si="4"/>
        <v>6.3872131906290158E-8</v>
      </c>
      <c r="AA22" s="59"/>
    </row>
    <row r="23" spans="1:99" s="25" customFormat="1" ht="19" x14ac:dyDescent="0.25">
      <c r="A23" s="25" t="s">
        <v>68</v>
      </c>
      <c r="B23" s="32">
        <v>268614</v>
      </c>
      <c r="C23" s="30">
        <v>7674414</v>
      </c>
      <c r="D23" s="30">
        <v>1158420</v>
      </c>
      <c r="E23" s="29">
        <f t="shared" si="8"/>
        <v>2.283741845524238E-2</v>
      </c>
      <c r="F23" s="29">
        <f t="shared" si="9"/>
        <v>8.2079267761274194E-2</v>
      </c>
      <c r="G23" s="28">
        <f t="shared" si="10"/>
        <v>7.3503044947096308E-2</v>
      </c>
      <c r="H23" s="27">
        <f t="shared" si="11"/>
        <v>1.1903649391114705E-2</v>
      </c>
      <c r="I23" s="3">
        <f t="shared" si="12"/>
        <v>4.021702277038304E-2</v>
      </c>
      <c r="J23" s="64">
        <v>6.2458300000000001E-2</v>
      </c>
      <c r="K23" s="64">
        <v>2.3485599999999999E-2</v>
      </c>
      <c r="L23" s="64" t="s">
        <v>67</v>
      </c>
      <c r="M23" s="26">
        <f t="shared" si="13"/>
        <v>8.5943900000000004E-2</v>
      </c>
      <c r="N23" s="27">
        <v>45487293</v>
      </c>
      <c r="O23" s="66">
        <f t="shared" si="5"/>
        <v>1.6159028181144195</v>
      </c>
      <c r="P23" s="66">
        <f t="shared" si="6"/>
        <v>0.26169175182868554</v>
      </c>
      <c r="Q23" s="66">
        <f t="shared" si="7"/>
        <v>0.88413752760321529</v>
      </c>
      <c r="R23" s="69">
        <v>5.6099999999999999E-8</v>
      </c>
      <c r="S23" s="69">
        <v>6.1200000000000005E-8</v>
      </c>
      <c r="T23" s="69">
        <v>6.6300000000000005E-8</v>
      </c>
      <c r="U23" s="59">
        <f t="shared" si="1"/>
        <v>4.1235208215321029</v>
      </c>
      <c r="V23" s="59">
        <f t="shared" si="2"/>
        <v>0.72850334273621997</v>
      </c>
      <c r="W23" s="59">
        <f t="shared" si="3"/>
        <v>2.666388609676396</v>
      </c>
      <c r="X23" s="59">
        <f t="shared" si="4"/>
        <v>9.0652148096218937E-8</v>
      </c>
      <c r="Y23" s="59">
        <f t="shared" si="4"/>
        <v>1.6015535211915557E-8</v>
      </c>
      <c r="Z23" s="59">
        <f t="shared" si="4"/>
        <v>5.8618318080093177E-8</v>
      </c>
      <c r="AA23" s="59"/>
    </row>
    <row r="24" spans="1:99" s="25" customFormat="1" ht="19" x14ac:dyDescent="0.25">
      <c r="A24" s="25" t="s">
        <v>66</v>
      </c>
      <c r="B24" s="32">
        <v>12368</v>
      </c>
      <c r="C24" s="30">
        <v>9799304</v>
      </c>
      <c r="D24" s="30">
        <v>338036</v>
      </c>
      <c r="E24" s="29">
        <f t="shared" si="8"/>
        <v>2.8210055310088914E-2</v>
      </c>
      <c r="F24" s="29">
        <f t="shared" si="9"/>
        <v>2.3951371140821191E-2</v>
      </c>
      <c r="G24" s="28">
        <f t="shared" si="10"/>
        <v>2.1448762367480403E-2</v>
      </c>
      <c r="H24" s="27">
        <f t="shared" si="11"/>
        <v>3.4735778263279733E-3</v>
      </c>
      <c r="I24" s="3">
        <f t="shared" si="12"/>
        <v>4.9678313640532268E-2</v>
      </c>
      <c r="J24" s="64">
        <v>7.715729247E-2</v>
      </c>
      <c r="K24" s="64">
        <v>4.6601082000000002E-2</v>
      </c>
      <c r="L24" s="64">
        <v>9.1770052000000001E-4</v>
      </c>
      <c r="M24" s="26">
        <f t="shared" si="13"/>
        <v>0.12467607499</v>
      </c>
      <c r="N24" s="27">
        <v>38837023</v>
      </c>
      <c r="O24" s="66">
        <f t="shared" si="5"/>
        <v>0.5522761713090214</v>
      </c>
      <c r="P24" s="66">
        <f t="shared" si="6"/>
        <v>8.9439858104674336E-2</v>
      </c>
      <c r="Q24" s="66">
        <f t="shared" si="7"/>
        <v>1.2791483435929749</v>
      </c>
      <c r="R24" s="69">
        <v>5.6099999999999999E-8</v>
      </c>
      <c r="S24" s="69">
        <v>6.1200000000000005E-8</v>
      </c>
      <c r="T24" s="69">
        <v>6.6300000000000005E-8</v>
      </c>
      <c r="U24" s="59">
        <f t="shared" si="1"/>
        <v>1.2032755688156507</v>
      </c>
      <c r="V24" s="59">
        <f t="shared" si="2"/>
        <v>0.21258296297127199</v>
      </c>
      <c r="W24" s="59">
        <f t="shared" si="3"/>
        <v>3.2936721943672898</v>
      </c>
      <c r="X24" s="59">
        <f t="shared" si="4"/>
        <v>3.0982693210436103E-8</v>
      </c>
      <c r="Y24" s="59">
        <f t="shared" si="4"/>
        <v>5.4737193160060695E-9</v>
      </c>
      <c r="Z24" s="59">
        <f t="shared" si="4"/>
        <v>8.4807535180214248E-8</v>
      </c>
      <c r="AA24" s="59"/>
    </row>
    <row r="25" spans="1:99" s="25" customFormat="1" ht="19" x14ac:dyDescent="0.25">
      <c r="A25" s="25" t="s">
        <v>65</v>
      </c>
      <c r="B25" s="32">
        <v>5292</v>
      </c>
      <c r="C25" s="30">
        <v>2354510</v>
      </c>
      <c r="D25" s="30">
        <v>213926</v>
      </c>
      <c r="E25" s="29">
        <f t="shared" si="8"/>
        <v>6.7847911080658263E-3</v>
      </c>
      <c r="F25" s="29">
        <f t="shared" si="9"/>
        <v>1.5157619373887142E-2</v>
      </c>
      <c r="G25" s="28">
        <f t="shared" si="10"/>
        <v>1.3573844023197567E-2</v>
      </c>
      <c r="H25" s="27">
        <f t="shared" si="11"/>
        <v>2.1982528786136327E-3</v>
      </c>
      <c r="I25" s="3">
        <f t="shared" si="12"/>
        <v>1.1948114845823967E-2</v>
      </c>
      <c r="J25" s="64"/>
      <c r="K25" s="64"/>
      <c r="L25" s="64"/>
      <c r="M25" s="26">
        <f t="shared" si="13"/>
        <v>0</v>
      </c>
      <c r="N25" s="27">
        <v>35999930</v>
      </c>
      <c r="O25" s="66">
        <f t="shared" si="5"/>
        <v>0.37705195602318026</v>
      </c>
      <c r="P25" s="66">
        <f t="shared" si="6"/>
        <v>6.1062698694515034E-2</v>
      </c>
      <c r="Q25" s="66">
        <f t="shared" si="7"/>
        <v>0.3318927243976299</v>
      </c>
      <c r="R25" s="69">
        <v>5.6099999999999999E-8</v>
      </c>
      <c r="S25" s="69">
        <v>6.1200000000000005E-8</v>
      </c>
      <c r="T25" s="69">
        <v>6.6300000000000005E-8</v>
      </c>
      <c r="U25" s="59">
        <f t="shared" si="1"/>
        <v>0.76149264970138353</v>
      </c>
      <c r="V25" s="59">
        <f t="shared" si="2"/>
        <v>0.13453307617115434</v>
      </c>
      <c r="W25" s="59">
        <f t="shared" si="3"/>
        <v>0.7921600142781291</v>
      </c>
      <c r="X25" s="59">
        <f t="shared" si="4"/>
        <v>2.1152614732900413E-8</v>
      </c>
      <c r="Y25" s="59">
        <f t="shared" si="4"/>
        <v>3.7370371601043206E-9</v>
      </c>
      <c r="Z25" s="59">
        <f t="shared" si="4"/>
        <v>2.2004487627562865E-8</v>
      </c>
      <c r="AA25" s="59"/>
    </row>
    <row r="26" spans="1:99" s="25" customFormat="1" ht="19" x14ac:dyDescent="0.25">
      <c r="A26" s="25" t="s">
        <v>64</v>
      </c>
      <c r="B26" s="31">
        <v>0</v>
      </c>
      <c r="C26" s="30">
        <v>88988</v>
      </c>
      <c r="D26" s="30">
        <v>2226</v>
      </c>
      <c r="E26" s="29">
        <f t="shared" si="8"/>
        <v>2.5585408908228817E-4</v>
      </c>
      <c r="F26" s="29">
        <f t="shared" si="9"/>
        <v>1.5772211290947699E-4</v>
      </c>
      <c r="G26" s="28">
        <f t="shared" si="10"/>
        <v>1.4124219026970906E-4</v>
      </c>
      <c r="H26" s="27">
        <f t="shared" si="11"/>
        <v>2.2873848470003396E-5</v>
      </c>
      <c r="I26" s="3">
        <f t="shared" si="12"/>
        <v>4.5056273530583635E-4</v>
      </c>
      <c r="J26" s="64"/>
      <c r="K26" s="64"/>
      <c r="L26" s="64"/>
      <c r="M26" s="26">
        <f t="shared" si="13"/>
        <v>0</v>
      </c>
      <c r="N26" s="27">
        <v>1088682</v>
      </c>
      <c r="O26" s="66">
        <f t="shared" si="5"/>
        <v>0.12973686555827049</v>
      </c>
      <c r="P26" s="66">
        <f t="shared" si="6"/>
        <v>2.1010587545310197E-2</v>
      </c>
      <c r="Q26" s="66">
        <f t="shared" si="7"/>
        <v>0.4138607373924032</v>
      </c>
      <c r="R26" s="69">
        <v>5.6099999999999999E-8</v>
      </c>
      <c r="S26" s="69">
        <v>6.1200000000000005E-8</v>
      </c>
      <c r="T26" s="69">
        <v>6.6300000000000005E-8</v>
      </c>
      <c r="U26" s="59">
        <f t="shared" si="1"/>
        <v>7.9236868741306785E-3</v>
      </c>
      <c r="V26" s="59">
        <f t="shared" si="2"/>
        <v>1.3998795263642078E-3</v>
      </c>
      <c r="W26" s="59">
        <f t="shared" si="3"/>
        <v>2.9872309350776956E-2</v>
      </c>
      <c r="X26" s="59">
        <f t="shared" si="4"/>
        <v>7.2782381578189749E-9</v>
      </c>
      <c r="Y26" s="59">
        <f t="shared" si="4"/>
        <v>1.2858479577729842E-9</v>
      </c>
      <c r="Z26" s="59">
        <f t="shared" si="4"/>
        <v>2.7438966889116334E-8</v>
      </c>
      <c r="AA26" s="59"/>
    </row>
    <row r="27" spans="1:99" s="25" customFormat="1" ht="19" x14ac:dyDescent="0.25">
      <c r="A27" s="25" t="s">
        <v>63</v>
      </c>
      <c r="B27" s="31">
        <v>0</v>
      </c>
      <c r="C27" s="30">
        <v>1296034</v>
      </c>
      <c r="D27" s="30">
        <v>212797</v>
      </c>
      <c r="E27" s="29">
        <f t="shared" si="8"/>
        <v>3.7262956633442065E-3</v>
      </c>
      <c r="F27" s="29">
        <f t="shared" si="9"/>
        <v>1.5077624645461805E-2</v>
      </c>
      <c r="G27" s="28">
        <f t="shared" si="10"/>
        <v>1.35022077101632E-2</v>
      </c>
      <c r="H27" s="27">
        <f t="shared" si="11"/>
        <v>2.186651542170401E-3</v>
      </c>
      <c r="I27" s="3">
        <f t="shared" si="12"/>
        <v>6.5620603237443731E-3</v>
      </c>
      <c r="J27" s="64"/>
      <c r="K27" s="64"/>
      <c r="L27" s="64"/>
      <c r="M27" s="26">
        <f t="shared" si="13"/>
        <v>0</v>
      </c>
      <c r="N27" s="27">
        <v>28667400</v>
      </c>
      <c r="O27" s="66">
        <f t="shared" si="5"/>
        <v>0.47099519698902581</v>
      </c>
      <c r="P27" s="66">
        <f t="shared" si="6"/>
        <v>7.6276590907107061E-2</v>
      </c>
      <c r="Q27" s="66">
        <f t="shared" si="7"/>
        <v>0.22890322539694472</v>
      </c>
      <c r="R27" s="69">
        <v>5.6099999999999999E-8</v>
      </c>
      <c r="S27" s="69">
        <v>6.1200000000000005E-8</v>
      </c>
      <c r="T27" s="69">
        <v>6.6300000000000005E-8</v>
      </c>
      <c r="U27" s="59">
        <f t="shared" si="1"/>
        <v>0.75747385254015553</v>
      </c>
      <c r="V27" s="59">
        <f t="shared" si="2"/>
        <v>0.13382307438082858</v>
      </c>
      <c r="W27" s="59">
        <f t="shared" si="3"/>
        <v>0.43506459946425197</v>
      </c>
      <c r="X27" s="59">
        <f t="shared" si="4"/>
        <v>2.6422830551084347E-8</v>
      </c>
      <c r="Y27" s="59">
        <f t="shared" si="4"/>
        <v>4.6681273635149526E-9</v>
      </c>
      <c r="Z27" s="59">
        <f t="shared" si="4"/>
        <v>1.5176283843817435E-8</v>
      </c>
      <c r="AA27" s="59"/>
    </row>
    <row r="28" spans="1:99" s="25" customFormat="1" ht="19" x14ac:dyDescent="0.25">
      <c r="A28" s="25" t="s">
        <v>62</v>
      </c>
      <c r="B28" s="31">
        <v>0</v>
      </c>
      <c r="C28" s="30">
        <v>586693</v>
      </c>
      <c r="D28" s="30">
        <v>150594</v>
      </c>
      <c r="E28" s="29">
        <f t="shared" si="8"/>
        <v>1.6868319670737052E-3</v>
      </c>
      <c r="F28" s="29">
        <f t="shared" si="9"/>
        <v>1.0670262296266747E-2</v>
      </c>
      <c r="G28" s="28">
        <f t="shared" si="10"/>
        <v>9.5553577724512874E-3</v>
      </c>
      <c r="H28" s="27">
        <f t="shared" si="11"/>
        <v>1.5474682553871032E-3</v>
      </c>
      <c r="I28" s="3">
        <f t="shared" si="12"/>
        <v>2.9705353852742733E-3</v>
      </c>
      <c r="J28" s="64"/>
      <c r="K28" s="64"/>
      <c r="L28" s="64"/>
      <c r="M28" s="26">
        <f t="shared" si="13"/>
        <v>0</v>
      </c>
      <c r="N28" s="27">
        <v>14545994</v>
      </c>
      <c r="O28" s="66">
        <f t="shared" si="5"/>
        <v>0.65690648383680672</v>
      </c>
      <c r="P28" s="66">
        <f t="shared" si="6"/>
        <v>0.10638449702283001</v>
      </c>
      <c r="Q28" s="66">
        <f t="shared" si="7"/>
        <v>0.20421673384948963</v>
      </c>
      <c r="R28" s="69">
        <v>5.6099999999999999E-8</v>
      </c>
      <c r="S28" s="69">
        <v>6.1200000000000005E-8</v>
      </c>
      <c r="T28" s="69">
        <v>6.6300000000000005E-8</v>
      </c>
      <c r="U28" s="59">
        <f t="shared" si="1"/>
        <v>0.53605557103451718</v>
      </c>
      <c r="V28" s="59">
        <f t="shared" si="2"/>
        <v>9.470505722969072E-2</v>
      </c>
      <c r="W28" s="59">
        <f t="shared" si="3"/>
        <v>0.19694649604368433</v>
      </c>
      <c r="X28" s="59">
        <f t="shared" si="4"/>
        <v>3.6852453743244856E-8</v>
      </c>
      <c r="Y28" s="59">
        <f t="shared" si="4"/>
        <v>6.5107312177971969E-9</v>
      </c>
      <c r="Z28" s="59">
        <f t="shared" si="4"/>
        <v>1.3539569454221164E-8</v>
      </c>
      <c r="AA28" s="59"/>
    </row>
    <row r="29" spans="1:99" s="25" customFormat="1" ht="19" x14ac:dyDescent="0.25">
      <c r="A29" s="25" t="s">
        <v>61</v>
      </c>
      <c r="B29" s="31">
        <v>0</v>
      </c>
      <c r="C29" s="30">
        <v>223170</v>
      </c>
      <c r="D29" s="30">
        <v>13503</v>
      </c>
      <c r="E29" s="29">
        <f t="shared" si="8"/>
        <v>6.4164782960055564E-4</v>
      </c>
      <c r="F29" s="29">
        <f t="shared" si="9"/>
        <v>9.5674828868673315E-4</v>
      </c>
      <c r="G29" s="28">
        <f t="shared" si="10"/>
        <v>8.5678045607002768E-4</v>
      </c>
      <c r="H29" s="27">
        <f t="shared" si="11"/>
        <v>1.3875362798313381E-4</v>
      </c>
      <c r="I29" s="3">
        <f t="shared" si="12"/>
        <v>1.1299510679889815E-3</v>
      </c>
      <c r="J29" s="64"/>
      <c r="K29" s="64"/>
      <c r="L29" s="64"/>
      <c r="M29" s="26">
        <f t="shared" si="13"/>
        <v>0</v>
      </c>
      <c r="N29" s="27">
        <v>6195589</v>
      </c>
      <c r="O29" s="66">
        <f t="shared" si="5"/>
        <v>0.13828878191726851</v>
      </c>
      <c r="P29" s="66">
        <f t="shared" si="6"/>
        <v>2.2395550767349774E-2</v>
      </c>
      <c r="Q29" s="66">
        <f t="shared" si="7"/>
        <v>0.18237992674933431</v>
      </c>
      <c r="R29" s="69">
        <v>5.6099999999999999E-8</v>
      </c>
      <c r="S29" s="69">
        <v>6.1200000000000005E-8</v>
      </c>
      <c r="T29" s="69">
        <v>6.6300000000000005E-8</v>
      </c>
      <c r="U29" s="59">
        <f t="shared" si="1"/>
        <v>4.8065383585528552E-2</v>
      </c>
      <c r="V29" s="59">
        <f t="shared" si="2"/>
        <v>8.4917220325677906E-3</v>
      </c>
      <c r="W29" s="59">
        <f t="shared" si="3"/>
        <v>7.4915755807669487E-2</v>
      </c>
      <c r="X29" s="59">
        <f t="shared" si="4"/>
        <v>7.7580006655587628E-9</v>
      </c>
      <c r="Y29" s="59">
        <f t="shared" si="4"/>
        <v>1.3706077069618064E-9</v>
      </c>
      <c r="Z29" s="59">
        <f t="shared" si="4"/>
        <v>1.2091789143480865E-8</v>
      </c>
      <c r="AA29" s="59"/>
    </row>
    <row r="30" spans="1:99" s="25" customFormat="1" ht="19" x14ac:dyDescent="0.25">
      <c r="A30" s="25" t="s">
        <v>60</v>
      </c>
      <c r="B30" s="31">
        <v>0</v>
      </c>
      <c r="C30" s="30">
        <v>95005</v>
      </c>
      <c r="D30" s="30">
        <v>8561</v>
      </c>
      <c r="E30" s="29">
        <f t="shared" si="8"/>
        <v>2.7315388291975081E-4</v>
      </c>
      <c r="F30" s="29">
        <f t="shared" si="9"/>
        <v>6.065853587682087E-4</v>
      </c>
      <c r="G30" s="28">
        <f t="shared" si="10"/>
        <v>5.4320502735803202E-4</v>
      </c>
      <c r="H30" s="27">
        <f t="shared" si="11"/>
        <v>8.7970807166082236E-5</v>
      </c>
      <c r="I30" s="3">
        <f t="shared" si="12"/>
        <v>4.8102792137963521E-4</v>
      </c>
      <c r="J30" s="64"/>
      <c r="K30" s="64"/>
      <c r="L30" s="64"/>
      <c r="M30" s="26">
        <f t="shared" si="13"/>
        <v>0</v>
      </c>
      <c r="N30" s="27">
        <v>2761872</v>
      </c>
      <c r="O30" s="66">
        <f t="shared" si="5"/>
        <v>0.1966800153511937</v>
      </c>
      <c r="P30" s="66">
        <f t="shared" si="6"/>
        <v>3.1851876975501486E-2</v>
      </c>
      <c r="Q30" s="66">
        <f t="shared" si="7"/>
        <v>0.17416734786392535</v>
      </c>
      <c r="R30" s="69">
        <v>5.6099999999999999E-8</v>
      </c>
      <c r="S30" s="69">
        <v>6.1200000000000005E-8</v>
      </c>
      <c r="T30" s="69">
        <v>6.6300000000000005E-8</v>
      </c>
      <c r="U30" s="59">
        <f t="shared" si="1"/>
        <v>3.0473802034785599E-2</v>
      </c>
      <c r="V30" s="59">
        <f t="shared" si="2"/>
        <v>5.3838133985642331E-3</v>
      </c>
      <c r="W30" s="59">
        <f t="shared" si="3"/>
        <v>3.1892151187469818E-2</v>
      </c>
      <c r="X30" s="59">
        <f t="shared" si="4"/>
        <v>1.1033748861201966E-8</v>
      </c>
      <c r="Y30" s="59">
        <f t="shared" si="4"/>
        <v>1.9493348709006912E-9</v>
      </c>
      <c r="Z30" s="59">
        <f t="shared" si="4"/>
        <v>1.1547295163378252E-8</v>
      </c>
      <c r="AA30" s="59"/>
    </row>
    <row r="31" spans="1:99" s="25" customFormat="1" ht="19" x14ac:dyDescent="0.25">
      <c r="A31" s="25" t="s">
        <v>59</v>
      </c>
      <c r="B31" s="31">
        <v>0</v>
      </c>
      <c r="C31" s="30">
        <v>440664</v>
      </c>
      <c r="D31" s="30">
        <v>16927</v>
      </c>
      <c r="E31" s="29">
        <f t="shared" si="8"/>
        <v>1.2669762924367041E-3</v>
      </c>
      <c r="F31" s="29">
        <f t="shared" si="9"/>
        <v>1.1993540903947517E-3</v>
      </c>
      <c r="G31" s="28">
        <f t="shared" si="10"/>
        <v>1.0740370865657527E-3</v>
      </c>
      <c r="H31" s="27">
        <f t="shared" si="11"/>
        <v>1.7393784054436096E-4</v>
      </c>
      <c r="I31" s="3">
        <f t="shared" si="12"/>
        <v>2.2311634960984748E-3</v>
      </c>
      <c r="J31" s="64"/>
      <c r="K31" s="64"/>
      <c r="L31" s="64"/>
      <c r="M31" s="26">
        <f t="shared" si="13"/>
        <v>0</v>
      </c>
      <c r="N31" s="27">
        <v>17036334</v>
      </c>
      <c r="O31" s="66">
        <f t="shared" si="5"/>
        <v>6.3043908775547178E-2</v>
      </c>
      <c r="P31" s="66">
        <f t="shared" si="6"/>
        <v>1.0209816298762454E-2</v>
      </c>
      <c r="Q31" s="66">
        <f t="shared" si="7"/>
        <v>0.13096500080935691</v>
      </c>
      <c r="R31" s="69">
        <v>5.6099999999999999E-8</v>
      </c>
      <c r="S31" s="69">
        <v>6.1200000000000005E-8</v>
      </c>
      <c r="T31" s="69">
        <v>6.6300000000000005E-8</v>
      </c>
      <c r="U31" s="59">
        <f t="shared" si="1"/>
        <v>6.025348055633873E-2</v>
      </c>
      <c r="V31" s="59">
        <f t="shared" si="2"/>
        <v>1.0644995841314892E-2</v>
      </c>
      <c r="W31" s="59">
        <f t="shared" si="3"/>
        <v>0.1479261397913289</v>
      </c>
      <c r="X31" s="59">
        <f t="shared" si="4"/>
        <v>3.5367632823081964E-9</v>
      </c>
      <c r="Y31" s="59">
        <f t="shared" si="4"/>
        <v>6.2484075748426227E-10</v>
      </c>
      <c r="Z31" s="59">
        <f t="shared" si="4"/>
        <v>8.6829795536603635E-9</v>
      </c>
      <c r="AA31" s="59"/>
    </row>
    <row r="32" spans="1:99" s="25" customFormat="1" ht="19" x14ac:dyDescent="0.25">
      <c r="A32" s="25" t="s">
        <v>58</v>
      </c>
      <c r="B32" s="31">
        <v>0</v>
      </c>
      <c r="C32" s="30">
        <v>262691</v>
      </c>
      <c r="D32" s="30">
        <v>11331</v>
      </c>
      <c r="E32" s="29">
        <f t="shared" si="8"/>
        <v>7.5527673973024856E-4</v>
      </c>
      <c r="F32" s="29">
        <f t="shared" si="9"/>
        <v>8.0285231867802511E-4</v>
      </c>
      <c r="G32" s="28">
        <f t="shared" si="10"/>
        <v>7.1896462621117406E-4</v>
      </c>
      <c r="H32" s="27">
        <f t="shared" si="11"/>
        <v>1.1643467071590678E-4</v>
      </c>
      <c r="I32" s="3">
        <f t="shared" si="12"/>
        <v>1.3300532150427636E-3</v>
      </c>
      <c r="J32" s="71">
        <v>0.11975093000000001</v>
      </c>
      <c r="K32" s="64">
        <v>4.0131790000000001E-2</v>
      </c>
      <c r="L32" s="75">
        <v>1.2006916999999999</v>
      </c>
      <c r="M32" s="26">
        <f t="shared" si="13"/>
        <v>1.3605744199999998</v>
      </c>
      <c r="N32" s="27">
        <v>5900055</v>
      </c>
      <c r="O32" s="66">
        <f t="shared" si="5"/>
        <v>0.12185727526458211</v>
      </c>
      <c r="P32" s="66">
        <f t="shared" si="6"/>
        <v>1.9734505986114838E-2</v>
      </c>
      <c r="Q32" s="66">
        <f t="shared" si="7"/>
        <v>0.22543064684020125</v>
      </c>
      <c r="R32" s="69">
        <v>5.6099999999999999E-8</v>
      </c>
      <c r="S32" s="69">
        <v>6.1200000000000005E-8</v>
      </c>
      <c r="T32" s="69">
        <v>6.6300000000000005E-8</v>
      </c>
      <c r="U32" s="59">
        <f t="shared" si="1"/>
        <v>4.0333915530446865E-2</v>
      </c>
      <c r="V32" s="59">
        <f t="shared" si="2"/>
        <v>7.1258018478134958E-3</v>
      </c>
      <c r="W32" s="59">
        <f t="shared" si="3"/>
        <v>8.8182528157335224E-2</v>
      </c>
      <c r="X32" s="59">
        <f t="shared" si="4"/>
        <v>6.8361931423430557E-9</v>
      </c>
      <c r="Y32" s="59">
        <f t="shared" si="4"/>
        <v>1.2077517663502282E-9</v>
      </c>
      <c r="Z32" s="59">
        <f t="shared" si="4"/>
        <v>1.4946051885505346E-8</v>
      </c>
      <c r="AA32" s="59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</row>
    <row r="33" spans="1:99" s="18" customFormat="1" ht="19" x14ac:dyDescent="0.25">
      <c r="A33" s="18" t="s">
        <v>57</v>
      </c>
      <c r="B33" s="24">
        <v>0</v>
      </c>
      <c r="C33" s="20">
        <v>844303</v>
      </c>
      <c r="D33" s="20">
        <v>104112</v>
      </c>
      <c r="E33" s="18">
        <f>(C33+B33)/SUM(B$33:C$34)</f>
        <v>2.5763933934587303E-2</v>
      </c>
      <c r="F33" s="18">
        <f>(D33)/SUM(D$33:D$34)</f>
        <v>1.0871481116085265E-2</v>
      </c>
      <c r="G33" s="21">
        <f>J$34*F33</f>
        <v>0</v>
      </c>
      <c r="H33" s="20">
        <f>F33*K$34</f>
        <v>9.9665933853879084E-3</v>
      </c>
      <c r="I33" s="3">
        <f>E33*(L$34)</f>
        <v>8.4245021245502798E-4</v>
      </c>
      <c r="J33" s="64"/>
      <c r="K33" s="64"/>
      <c r="L33" s="64"/>
      <c r="M33" s="19">
        <f t="shared" si="13"/>
        <v>0</v>
      </c>
      <c r="N33" s="61">
        <v>9853860</v>
      </c>
      <c r="O33" s="66">
        <f t="shared" si="5"/>
        <v>0</v>
      </c>
      <c r="P33" s="66">
        <f t="shared" si="6"/>
        <v>1.0114405304507987</v>
      </c>
      <c r="Q33" s="66">
        <f t="shared" si="7"/>
        <v>8.5494436947046934E-2</v>
      </c>
      <c r="R33" s="69">
        <v>5.6099999999999999E-8</v>
      </c>
      <c r="S33" s="69">
        <v>6.1200000000000005E-8</v>
      </c>
      <c r="T33" s="69">
        <v>6.6300000000000005E-8</v>
      </c>
      <c r="U33" s="59">
        <f t="shared" si="1"/>
        <v>0</v>
      </c>
      <c r="V33" s="59">
        <f t="shared" si="2"/>
        <v>0.60995551518573998</v>
      </c>
      <c r="W33" s="59">
        <f t="shared" si="3"/>
        <v>5.5854449085768358E-2</v>
      </c>
      <c r="X33" s="59">
        <f>R33*O33</f>
        <v>0</v>
      </c>
      <c r="Y33" s="59">
        <f t="shared" si="4"/>
        <v>6.1900160463588891E-8</v>
      </c>
      <c r="Z33" s="59">
        <f t="shared" si="4"/>
        <v>5.668281169589212E-9</v>
      </c>
      <c r="AA33" s="59"/>
    </row>
    <row r="34" spans="1:99" s="18" customFormat="1" ht="19" x14ac:dyDescent="0.25">
      <c r="A34" s="23" t="s">
        <v>56</v>
      </c>
      <c r="B34" s="22">
        <v>10676772</v>
      </c>
      <c r="C34" s="20">
        <v>21249658</v>
      </c>
      <c r="D34" s="20">
        <v>9472504</v>
      </c>
      <c r="E34" s="18">
        <f>(C34+B34)/SUM(B$33:C$34)</f>
        <v>0.97423606606541269</v>
      </c>
      <c r="F34" s="18">
        <f>(D34)/SUM(D$33:D$34)</f>
        <v>0.98912851888391473</v>
      </c>
      <c r="G34" s="21">
        <f>J$34*F34</f>
        <v>0</v>
      </c>
      <c r="H34" s="20">
        <f>F34*K$34</f>
        <v>0.90679840661461208</v>
      </c>
      <c r="I34" s="3">
        <f>E34*(L$34)</f>
        <v>3.185636878754497E-2</v>
      </c>
      <c r="J34" s="71">
        <v>0</v>
      </c>
      <c r="K34" s="64">
        <v>0.91676500000000005</v>
      </c>
      <c r="L34" s="71">
        <v>3.2698818999999997E-2</v>
      </c>
      <c r="M34" s="19">
        <f t="shared" si="13"/>
        <v>0.9494638190000001</v>
      </c>
      <c r="N34" s="61">
        <v>87637582</v>
      </c>
      <c r="O34" s="66">
        <f t="shared" si="5"/>
        <v>0</v>
      </c>
      <c r="P34" s="66">
        <f t="shared" si="6"/>
        <v>10.34714087176221</v>
      </c>
      <c r="Q34" s="66">
        <f t="shared" si="7"/>
        <v>0.36350122927336093</v>
      </c>
      <c r="R34" s="69">
        <v>5.6099999999999999E-8</v>
      </c>
      <c r="S34" s="69">
        <v>6.1200000000000005E-8</v>
      </c>
      <c r="T34" s="69">
        <v>6.6300000000000005E-8</v>
      </c>
      <c r="U34" s="59">
        <f t="shared" si="1"/>
        <v>0</v>
      </c>
      <c r="V34" s="59">
        <f t="shared" si="2"/>
        <v>55.496062484814267</v>
      </c>
      <c r="W34" s="59">
        <f t="shared" si="3"/>
        <v>2.1120772506142318</v>
      </c>
      <c r="X34" s="59">
        <f t="shared" si="4"/>
        <v>0</v>
      </c>
      <c r="Y34" s="59">
        <f t="shared" si="4"/>
        <v>6.332450213518473E-7</v>
      </c>
      <c r="Z34" s="59">
        <f t="shared" si="4"/>
        <v>2.410013150082383E-8</v>
      </c>
      <c r="AA34" s="59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</row>
    <row r="35" spans="1:99" s="12" customFormat="1" ht="19" x14ac:dyDescent="0.25">
      <c r="A35" s="12" t="s">
        <v>55</v>
      </c>
      <c r="B35" s="16">
        <v>29377</v>
      </c>
      <c r="C35" s="14">
        <v>6992190</v>
      </c>
      <c r="D35" s="14">
        <v>2937448</v>
      </c>
      <c r="E35" s="12">
        <f t="shared" ref="E35:E41" si="14">(B35+C35)/SUM(B$35:C$41)</f>
        <v>0.17997536066882169</v>
      </c>
      <c r="F35" s="12">
        <f t="shared" ref="F35:F41" si="15">D35/SUM(D$35:D$41)</f>
        <v>0.89929383901635873</v>
      </c>
      <c r="G35" s="15">
        <f t="shared" ref="G35:G41" si="16">J$35*F35</f>
        <v>0</v>
      </c>
      <c r="H35" s="14">
        <f t="shared" ref="H35:H41" si="17">F35*K$35</f>
        <v>3.4355560659050928E-3</v>
      </c>
      <c r="I35" s="3">
        <f t="shared" ref="I35:I41" si="18">E35*(L$39)</f>
        <v>3.1537314618212887E-2</v>
      </c>
      <c r="J35" s="71">
        <v>0</v>
      </c>
      <c r="K35" s="64">
        <v>3.8202819999999999E-3</v>
      </c>
      <c r="L35" s="71" t="s">
        <v>0</v>
      </c>
      <c r="M35" s="13">
        <f t="shared" si="13"/>
        <v>3.8202819999999999E-3</v>
      </c>
      <c r="N35" s="62">
        <v>20347659</v>
      </c>
      <c r="O35" s="66">
        <f t="shared" si="5"/>
        <v>0</v>
      </c>
      <c r="P35" s="66">
        <f t="shared" si="6"/>
        <v>0.16884281704863899</v>
      </c>
      <c r="Q35" s="66">
        <f t="shared" si="7"/>
        <v>1.5499234884078257</v>
      </c>
      <c r="R35" s="69">
        <v>5.6099999999999999E-8</v>
      </c>
      <c r="S35" s="69">
        <v>6.1200000000000005E-8</v>
      </c>
      <c r="T35" s="69">
        <v>6.6300000000000005E-8</v>
      </c>
      <c r="U35" s="59">
        <f t="shared" si="1"/>
        <v>0</v>
      </c>
      <c r="V35" s="59">
        <f t="shared" si="2"/>
        <v>0.2102560312333917</v>
      </c>
      <c r="W35" s="59">
        <f t="shared" si="3"/>
        <v>2.0909239591875144</v>
      </c>
      <c r="X35" s="59">
        <f t="shared" si="4"/>
        <v>0</v>
      </c>
      <c r="Y35" s="59">
        <f t="shared" si="4"/>
        <v>1.0333180403376707E-8</v>
      </c>
      <c r="Z35" s="59">
        <f t="shared" si="4"/>
        <v>1.0275992728143885E-7</v>
      </c>
      <c r="AA35" s="59"/>
    </row>
    <row r="36" spans="1:99" s="12" customFormat="1" ht="19" x14ac:dyDescent="0.25">
      <c r="A36" s="12" t="s">
        <v>54</v>
      </c>
      <c r="B36" s="17">
        <v>0</v>
      </c>
      <c r="C36" s="14">
        <v>639130</v>
      </c>
      <c r="D36" s="14">
        <v>1354</v>
      </c>
      <c r="E36" s="12">
        <f t="shared" si="14"/>
        <v>1.6382048660115899E-2</v>
      </c>
      <c r="F36" s="12">
        <f t="shared" si="15"/>
        <v>4.1452439601591233E-4</v>
      </c>
      <c r="G36" s="15">
        <f t="shared" si="16"/>
        <v>0</v>
      </c>
      <c r="H36" s="14">
        <f t="shared" si="17"/>
        <v>1.5836000886604615E-6</v>
      </c>
      <c r="I36" s="3">
        <f t="shared" si="18"/>
        <v>2.8706475195548809E-3</v>
      </c>
      <c r="J36" s="64"/>
      <c r="K36" s="64"/>
      <c r="L36" s="64"/>
      <c r="M36" s="13">
        <f t="shared" si="13"/>
        <v>0</v>
      </c>
      <c r="N36" s="62">
        <v>2429301</v>
      </c>
      <c r="O36" s="66">
        <f t="shared" si="5"/>
        <v>0</v>
      </c>
      <c r="P36" s="66">
        <f t="shared" si="6"/>
        <v>6.518747938853446E-4</v>
      </c>
      <c r="Q36" s="66">
        <f t="shared" si="7"/>
        <v>1.1816763421061782</v>
      </c>
      <c r="R36" s="69">
        <v>5.6099999999999999E-8</v>
      </c>
      <c r="S36" s="69">
        <v>6.1200000000000005E-8</v>
      </c>
      <c r="T36" s="69">
        <v>6.6300000000000005E-8</v>
      </c>
      <c r="U36" s="59">
        <f t="shared" si="1"/>
        <v>0</v>
      </c>
      <c r="V36" s="59">
        <f t="shared" si="2"/>
        <v>9.6916325426020256E-5</v>
      </c>
      <c r="W36" s="59">
        <f t="shared" si="3"/>
        <v>0.19032393054648861</v>
      </c>
      <c r="X36" s="59">
        <f t="shared" si="4"/>
        <v>0</v>
      </c>
      <c r="Y36" s="59">
        <f t="shared" si="4"/>
        <v>3.989473738578309E-11</v>
      </c>
      <c r="Z36" s="59">
        <f t="shared" si="4"/>
        <v>7.8345141481639623E-8</v>
      </c>
      <c r="AA36" s="59"/>
    </row>
    <row r="37" spans="1:99" s="12" customFormat="1" ht="19" x14ac:dyDescent="0.25">
      <c r="A37" s="12" t="s">
        <v>53</v>
      </c>
      <c r="B37" s="17">
        <v>0</v>
      </c>
      <c r="C37" s="14">
        <v>62085</v>
      </c>
      <c r="D37" s="14">
        <v>8014</v>
      </c>
      <c r="E37" s="12">
        <f t="shared" si="14"/>
        <v>1.5913499461194054E-3</v>
      </c>
      <c r="F37" s="12">
        <f t="shared" si="15"/>
        <v>2.4534700957692182E-3</v>
      </c>
      <c r="G37" s="15">
        <f t="shared" si="16"/>
        <v>0</v>
      </c>
      <c r="H37" s="14">
        <f t="shared" si="17"/>
        <v>9.3729476444054206E-6</v>
      </c>
      <c r="I37" s="3">
        <f t="shared" si="18"/>
        <v>2.788543038999339E-4</v>
      </c>
      <c r="J37" s="64"/>
      <c r="K37" s="64"/>
      <c r="L37" s="64"/>
      <c r="M37" s="13">
        <f t="shared" si="13"/>
        <v>0</v>
      </c>
      <c r="N37" s="62">
        <v>2499078</v>
      </c>
      <c r="O37" s="66">
        <f t="shared" si="5"/>
        <v>0</v>
      </c>
      <c r="P37" s="66">
        <f t="shared" si="6"/>
        <v>3.7505622651255468E-3</v>
      </c>
      <c r="Q37" s="66">
        <f t="shared" si="7"/>
        <v>0.11158287332365532</v>
      </c>
      <c r="R37" s="69">
        <v>5.6099999999999999E-8</v>
      </c>
      <c r="S37" s="69">
        <v>6.1200000000000005E-8</v>
      </c>
      <c r="T37" s="69">
        <v>6.6300000000000005E-8</v>
      </c>
      <c r="U37" s="59">
        <f t="shared" si="1"/>
        <v>0</v>
      </c>
      <c r="V37" s="59">
        <f t="shared" si="2"/>
        <v>5.7362439583761172E-4</v>
      </c>
      <c r="W37" s="59">
        <f t="shared" si="3"/>
        <v>1.8488040348565618E-2</v>
      </c>
      <c r="X37" s="59">
        <f t="shared" si="4"/>
        <v>0</v>
      </c>
      <c r="Y37" s="59">
        <f t="shared" si="4"/>
        <v>2.2953441062568348E-10</v>
      </c>
      <c r="Z37" s="59">
        <f t="shared" si="4"/>
        <v>7.3979445013583488E-9</v>
      </c>
      <c r="AA37" s="59"/>
    </row>
    <row r="38" spans="1:99" s="12" customFormat="1" ht="19" x14ac:dyDescent="0.25">
      <c r="A38" s="12" t="s">
        <v>52</v>
      </c>
      <c r="B38" s="17">
        <v>0</v>
      </c>
      <c r="C38" s="14">
        <v>3123</v>
      </c>
      <c r="D38" s="12">
        <v>282</v>
      </c>
      <c r="E38" s="12">
        <f t="shared" si="14"/>
        <v>8.0048093448190433E-5</v>
      </c>
      <c r="F38" s="12">
        <f t="shared" si="15"/>
        <v>8.6333736836401249E-5</v>
      </c>
      <c r="G38" s="15">
        <f t="shared" si="16"/>
        <v>0</v>
      </c>
      <c r="H38" s="14">
        <f t="shared" si="17"/>
        <v>3.2981922082884064E-7</v>
      </c>
      <c r="I38" s="3">
        <f t="shared" si="18"/>
        <v>1.4026930676966958E-5</v>
      </c>
      <c r="J38" s="64"/>
      <c r="K38" s="64"/>
      <c r="L38" s="64"/>
      <c r="M38" s="13">
        <f t="shared" si="13"/>
        <v>0</v>
      </c>
      <c r="N38" s="62">
        <v>66599</v>
      </c>
      <c r="O38" s="66">
        <f t="shared" si="5"/>
        <v>0</v>
      </c>
      <c r="P38" s="66">
        <f t="shared" si="6"/>
        <v>4.9523149120683594E-3</v>
      </c>
      <c r="Q38" s="66">
        <f t="shared" si="7"/>
        <v>0.21061773715771945</v>
      </c>
      <c r="R38" s="69">
        <v>5.6099999999999999E-8</v>
      </c>
      <c r="S38" s="69">
        <v>6.1200000000000005E-8</v>
      </c>
      <c r="T38" s="69">
        <v>6.6300000000000005E-8</v>
      </c>
      <c r="U38" s="59">
        <f t="shared" si="1"/>
        <v>0</v>
      </c>
      <c r="V38" s="59">
        <f t="shared" si="2"/>
        <v>2.0184936314725048E-5</v>
      </c>
      <c r="W38" s="59">
        <f t="shared" si="3"/>
        <v>9.2998550388290939E-4</v>
      </c>
      <c r="X38" s="59">
        <f t="shared" si="4"/>
        <v>0</v>
      </c>
      <c r="Y38" s="59">
        <f t="shared" si="4"/>
        <v>3.0308167261858364E-10</v>
      </c>
      <c r="Z38" s="59">
        <f t="shared" si="4"/>
        <v>1.39639559735568E-8</v>
      </c>
      <c r="AA38" s="59"/>
    </row>
    <row r="39" spans="1:99" s="12" customFormat="1" ht="19" x14ac:dyDescent="0.25">
      <c r="A39" s="12" t="s">
        <v>51</v>
      </c>
      <c r="B39" s="16">
        <v>130848</v>
      </c>
      <c r="C39" s="14">
        <v>10779319</v>
      </c>
      <c r="D39" s="14">
        <v>78103</v>
      </c>
      <c r="E39" s="12">
        <f t="shared" si="14"/>
        <v>0.27964715579614585</v>
      </c>
      <c r="F39" s="12">
        <f t="shared" si="15"/>
        <v>2.3911077475650518E-2</v>
      </c>
      <c r="G39" s="15">
        <f t="shared" si="16"/>
        <v>0</v>
      </c>
      <c r="H39" s="14">
        <f t="shared" si="17"/>
        <v>9.1347058880833116E-5</v>
      </c>
      <c r="I39" s="3">
        <f t="shared" si="18"/>
        <v>4.900293185498962E-2</v>
      </c>
      <c r="J39" s="71">
        <v>0</v>
      </c>
      <c r="K39" s="71" t="s">
        <v>0</v>
      </c>
      <c r="L39" s="64">
        <v>0.17523129000000001</v>
      </c>
      <c r="M39" s="13">
        <f t="shared" si="13"/>
        <v>0.17523129000000001</v>
      </c>
      <c r="N39" s="62">
        <v>241243474</v>
      </c>
      <c r="O39" s="66">
        <f t="shared" si="5"/>
        <v>0</v>
      </c>
      <c r="P39" s="66">
        <f t="shared" si="6"/>
        <v>3.7865090137457195E-4</v>
      </c>
      <c r="Q39" s="66">
        <f t="shared" si="7"/>
        <v>0.20312645578545108</v>
      </c>
      <c r="R39" s="69">
        <v>5.6099999999999999E-8</v>
      </c>
      <c r="S39" s="69">
        <v>6.1200000000000005E-8</v>
      </c>
      <c r="T39" s="69">
        <v>6.6300000000000005E-8</v>
      </c>
      <c r="U39" s="59">
        <f t="shared" si="1"/>
        <v>0</v>
      </c>
      <c r="V39" s="59">
        <f t="shared" si="2"/>
        <v>5.5904400035069867E-3</v>
      </c>
      <c r="W39" s="59">
        <f t="shared" si="3"/>
        <v>3.2488943819858123</v>
      </c>
      <c r="X39" s="59">
        <f t="shared" si="4"/>
        <v>0</v>
      </c>
      <c r="Y39" s="59">
        <f t="shared" si="4"/>
        <v>2.3173435164123805E-11</v>
      </c>
      <c r="Z39" s="59">
        <f t="shared" si="4"/>
        <v>1.3467284018575408E-8</v>
      </c>
      <c r="AA39" s="59"/>
    </row>
    <row r="40" spans="1:99" s="12" customFormat="1" ht="19" x14ac:dyDescent="0.25">
      <c r="A40" s="12" t="s">
        <v>50</v>
      </c>
      <c r="B40" s="16">
        <v>47243</v>
      </c>
      <c r="C40" s="14">
        <v>15251211</v>
      </c>
      <c r="D40" s="14">
        <v>28401</v>
      </c>
      <c r="E40" s="12">
        <f t="shared" si="14"/>
        <v>0.39212682529774018</v>
      </c>
      <c r="F40" s="12">
        <f t="shared" si="15"/>
        <v>8.6949094322362822E-3</v>
      </c>
      <c r="G40" s="15">
        <f t="shared" si="16"/>
        <v>0</v>
      </c>
      <c r="H40" s="14">
        <f t="shared" si="17"/>
        <v>3.321700599560249E-5</v>
      </c>
      <c r="I40" s="3">
        <f t="shared" si="18"/>
        <v>6.8712889440527655E-2</v>
      </c>
      <c r="J40" s="64"/>
      <c r="K40" s="64"/>
      <c r="L40" s="64"/>
      <c r="M40" s="13">
        <f t="shared" si="13"/>
        <v>0</v>
      </c>
      <c r="N40" s="62">
        <v>56912676</v>
      </c>
      <c r="O40" s="66">
        <f t="shared" si="5"/>
        <v>0</v>
      </c>
      <c r="P40" s="66">
        <f t="shared" si="6"/>
        <v>5.8364864086873176E-4</v>
      </c>
      <c r="Q40" s="66">
        <f t="shared" si="7"/>
        <v>1.2073389316736338</v>
      </c>
      <c r="R40" s="69">
        <v>5.6099999999999999E-8</v>
      </c>
      <c r="S40" s="69">
        <v>6.1200000000000005E-8</v>
      </c>
      <c r="T40" s="69">
        <v>6.6300000000000005E-8</v>
      </c>
      <c r="U40" s="59">
        <f t="shared" si="1"/>
        <v>0</v>
      </c>
      <c r="V40" s="59">
        <f t="shared" si="2"/>
        <v>2.0328807669308725E-3</v>
      </c>
      <c r="W40" s="59">
        <f t="shared" si="3"/>
        <v>4.555664569906984</v>
      </c>
      <c r="X40" s="59">
        <f t="shared" si="4"/>
        <v>0</v>
      </c>
      <c r="Y40" s="59">
        <f t="shared" si="4"/>
        <v>3.5719296821166384E-11</v>
      </c>
      <c r="Z40" s="59">
        <f t="shared" si="4"/>
        <v>8.0046571169961933E-8</v>
      </c>
      <c r="AA40" s="59"/>
    </row>
    <row r="41" spans="1:99" s="12" customFormat="1" ht="19" x14ac:dyDescent="0.25">
      <c r="A41" s="12" t="s">
        <v>49</v>
      </c>
      <c r="B41" s="16">
        <v>259780</v>
      </c>
      <c r="C41" s="14">
        <v>4819740</v>
      </c>
      <c r="D41" s="14">
        <v>212792</v>
      </c>
      <c r="E41" s="12">
        <f t="shared" si="14"/>
        <v>0.1301972115376088</v>
      </c>
      <c r="F41" s="12">
        <f t="shared" si="15"/>
        <v>6.5145845847132955E-2</v>
      </c>
      <c r="G41" s="15">
        <f t="shared" si="16"/>
        <v>0</v>
      </c>
      <c r="H41" s="14">
        <f t="shared" si="17"/>
        <v>2.4887550226457679E-4</v>
      </c>
      <c r="I41" s="3">
        <f t="shared" si="18"/>
        <v>2.2814625332138076E-2</v>
      </c>
      <c r="J41" s="64"/>
      <c r="K41" s="64"/>
      <c r="L41" s="64"/>
      <c r="M41" s="13">
        <f t="shared" si="13"/>
        <v>0</v>
      </c>
      <c r="N41" s="62">
        <v>152827208</v>
      </c>
      <c r="O41" s="66">
        <f t="shared" si="5"/>
        <v>0</v>
      </c>
      <c r="P41" s="66">
        <f t="shared" si="6"/>
        <v>1.6284764049643359E-3</v>
      </c>
      <c r="Q41" s="66">
        <f t="shared" si="7"/>
        <v>0.14928379331603098</v>
      </c>
      <c r="R41" s="69">
        <v>5.6099999999999999E-8</v>
      </c>
      <c r="S41" s="69">
        <v>6.1200000000000005E-8</v>
      </c>
      <c r="T41" s="69">
        <v>6.6300000000000005E-8</v>
      </c>
      <c r="U41" s="59">
        <f t="shared" si="1"/>
        <v>0</v>
      </c>
      <c r="V41" s="59">
        <f t="shared" si="2"/>
        <v>1.5231180738592101E-2</v>
      </c>
      <c r="W41" s="59">
        <f t="shared" si="3"/>
        <v>1.5126096595207545</v>
      </c>
      <c r="X41" s="59">
        <f t="shared" si="4"/>
        <v>0</v>
      </c>
      <c r="Y41" s="59">
        <f t="shared" si="4"/>
        <v>9.9662755983817371E-11</v>
      </c>
      <c r="Z41" s="59">
        <f t="shared" si="4"/>
        <v>9.8975154968528538E-9</v>
      </c>
      <c r="AA41" s="59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</row>
    <row r="42" spans="1:99" s="6" customFormat="1" ht="19" x14ac:dyDescent="0.25">
      <c r="A42" s="6" t="s">
        <v>48</v>
      </c>
      <c r="B42" s="9">
        <v>0</v>
      </c>
      <c r="C42" s="7">
        <v>20992408</v>
      </c>
      <c r="D42" s="7">
        <v>1532114</v>
      </c>
      <c r="E42" s="6">
        <f t="shared" ref="E42:E87" si="19">(B42+C42)/SUM(B$42:C$87)</f>
        <v>0.20664164971879434</v>
      </c>
      <c r="F42" s="6">
        <f t="shared" ref="F42:F87" si="20">D42/SUM(D$42:D$87)</f>
        <v>5.0179427232012672E-2</v>
      </c>
      <c r="G42" s="8">
        <f t="shared" ref="G42:G87" si="21">J$45*F42</f>
        <v>8.9972716615543363E-6</v>
      </c>
      <c r="H42" s="7">
        <v>0</v>
      </c>
      <c r="I42" s="3">
        <f>E42*(L45+L46+L47)</f>
        <v>0.56366992225760704</v>
      </c>
      <c r="J42" s="64"/>
      <c r="K42" s="64"/>
      <c r="L42" s="64"/>
      <c r="M42" s="11">
        <f t="shared" si="13"/>
        <v>0</v>
      </c>
      <c r="N42" s="63">
        <v>169631432</v>
      </c>
      <c r="O42" s="66">
        <f>(G42/N42)*10^9</f>
        <v>5.3040120899022632E-5</v>
      </c>
      <c r="P42" s="66">
        <f t="shared" si="6"/>
        <v>0</v>
      </c>
      <c r="Q42" s="66">
        <f t="shared" si="7"/>
        <v>3.3229096495371628</v>
      </c>
      <c r="R42" s="69">
        <v>5.6099999999999999E-8</v>
      </c>
      <c r="S42" s="69">
        <v>6.1200000000000005E-8</v>
      </c>
      <c r="T42" s="69">
        <v>6.6300000000000005E-8</v>
      </c>
      <c r="U42" s="59">
        <f t="shared" si="1"/>
        <v>5.0474694021319824E-4</v>
      </c>
      <c r="V42" s="59">
        <f t="shared" si="2"/>
        <v>0</v>
      </c>
      <c r="W42" s="59">
        <f t="shared" si="3"/>
        <v>37.371315845679348</v>
      </c>
      <c r="X42" s="59">
        <f t="shared" si="4"/>
        <v>2.9755507824351697E-12</v>
      </c>
      <c r="Y42" s="59">
        <f t="shared" si="4"/>
        <v>0</v>
      </c>
      <c r="Z42" s="59">
        <f t="shared" si="4"/>
        <v>2.2030890976431391E-7</v>
      </c>
      <c r="AA42" s="59"/>
    </row>
    <row r="43" spans="1:99" s="6" customFormat="1" ht="19" x14ac:dyDescent="0.25">
      <c r="A43" s="6" t="s">
        <v>47</v>
      </c>
      <c r="B43" s="9">
        <v>0</v>
      </c>
      <c r="C43" s="7">
        <v>12070293</v>
      </c>
      <c r="D43" s="7">
        <v>2694532</v>
      </c>
      <c r="E43" s="6">
        <f t="shared" si="19"/>
        <v>0.11881558600181626</v>
      </c>
      <c r="F43" s="6">
        <f t="shared" si="20"/>
        <v>8.8250660471955455E-2</v>
      </c>
      <c r="G43" s="8">
        <f t="shared" si="21"/>
        <v>1.5823519923942557E-5</v>
      </c>
      <c r="H43" s="7">
        <v>0</v>
      </c>
      <c r="I43" s="3">
        <f t="shared" ref="I43:I85" si="22">E43*(SUM(L$45:L$47))</f>
        <v>0.32410103295136694</v>
      </c>
      <c r="J43" s="64"/>
      <c r="K43" s="64"/>
      <c r="L43" s="64"/>
      <c r="M43" s="11">
        <f t="shared" si="13"/>
        <v>0</v>
      </c>
      <c r="N43" s="63">
        <v>262196732</v>
      </c>
      <c r="O43" s="66">
        <f t="shared" si="5"/>
        <v>6.0349798425186156E-5</v>
      </c>
      <c r="P43" s="66">
        <f t="shared" si="6"/>
        <v>0</v>
      </c>
      <c r="Q43" s="66">
        <f t="shared" si="7"/>
        <v>1.2360986747591001</v>
      </c>
      <c r="R43" s="69">
        <v>5.6099999999999999E-8</v>
      </c>
      <c r="S43" s="69">
        <v>6.1200000000000005E-8</v>
      </c>
      <c r="T43" s="69">
        <v>6.6300000000000005E-8</v>
      </c>
      <c r="U43" s="59">
        <f t="shared" si="1"/>
        <v>8.8769946773317742E-4</v>
      </c>
      <c r="V43" s="59">
        <f t="shared" si="2"/>
        <v>0</v>
      </c>
      <c r="W43" s="59">
        <f t="shared" si="3"/>
        <v>21.487898484675629</v>
      </c>
      <c r="X43" s="59">
        <f t="shared" si="4"/>
        <v>3.3856236916529434E-12</v>
      </c>
      <c r="Y43" s="59">
        <f t="shared" si="4"/>
        <v>0</v>
      </c>
      <c r="Z43" s="59">
        <f t="shared" si="4"/>
        <v>8.1953342136528346E-8</v>
      </c>
      <c r="AA43" s="59"/>
    </row>
    <row r="44" spans="1:99" s="6" customFormat="1" ht="19" x14ac:dyDescent="0.25">
      <c r="A44" s="6" t="s">
        <v>46</v>
      </c>
      <c r="B44" s="9">
        <v>0</v>
      </c>
      <c r="C44" s="7">
        <v>12082890</v>
      </c>
      <c r="D44" s="7">
        <v>4221352</v>
      </c>
      <c r="E44" s="6">
        <f t="shared" si="19"/>
        <v>0.1189395863004722</v>
      </c>
      <c r="F44" s="6">
        <f t="shared" si="20"/>
        <v>0.13825669989616382</v>
      </c>
      <c r="G44" s="8">
        <f t="shared" si="21"/>
        <v>2.4789702804781964E-5</v>
      </c>
      <c r="H44" s="7">
        <v>0</v>
      </c>
      <c r="I44" s="3">
        <f t="shared" si="22"/>
        <v>0.32443927666360228</v>
      </c>
      <c r="J44" s="64"/>
      <c r="K44" s="64"/>
      <c r="L44" s="64"/>
      <c r="M44" s="11">
        <f t="shared" si="13"/>
        <v>0</v>
      </c>
      <c r="N44" s="63">
        <v>287803330</v>
      </c>
      <c r="O44" s="66">
        <f t="shared" si="5"/>
        <v>8.6134176434935495E-5</v>
      </c>
      <c r="P44" s="66">
        <f t="shared" si="6"/>
        <v>0</v>
      </c>
      <c r="Q44" s="66">
        <f t="shared" si="7"/>
        <v>1.1272950756462836</v>
      </c>
      <c r="R44" s="69">
        <v>5.6099999999999999E-8</v>
      </c>
      <c r="S44" s="69">
        <v>6.1200000000000005E-8</v>
      </c>
      <c r="T44" s="69">
        <v>6.6300000000000005E-8</v>
      </c>
      <c r="U44" s="59">
        <f t="shared" si="1"/>
        <v>1.3907023273482682E-3</v>
      </c>
      <c r="V44" s="59">
        <f t="shared" si="2"/>
        <v>0</v>
      </c>
      <c r="W44" s="59">
        <f t="shared" si="3"/>
        <v>21.510324042796832</v>
      </c>
      <c r="X44" s="59">
        <f t="shared" si="4"/>
        <v>4.8321272979998809E-12</v>
      </c>
      <c r="Y44" s="59">
        <f t="shared" si="4"/>
        <v>0</v>
      </c>
      <c r="Z44" s="59">
        <f t="shared" si="4"/>
        <v>7.4739663515348611E-8</v>
      </c>
      <c r="AA44" s="59"/>
    </row>
    <row r="45" spans="1:99" s="6" customFormat="1" ht="19" x14ac:dyDescent="0.25">
      <c r="A45" s="6" t="s">
        <v>45</v>
      </c>
      <c r="B45" s="9">
        <v>0</v>
      </c>
      <c r="C45" s="7">
        <v>14386355</v>
      </c>
      <c r="D45" s="7">
        <v>193716</v>
      </c>
      <c r="E45" s="6">
        <f t="shared" si="19"/>
        <v>0.14161406021835254</v>
      </c>
      <c r="F45" s="6">
        <f t="shared" si="20"/>
        <v>6.3445395875741401E-3</v>
      </c>
      <c r="G45" s="8">
        <f t="shared" si="21"/>
        <v>1.1375886371312184E-6</v>
      </c>
      <c r="H45" s="7">
        <v>0</v>
      </c>
      <c r="I45" s="3">
        <f t="shared" si="22"/>
        <v>0.38628991988057471</v>
      </c>
      <c r="J45" s="74">
        <v>1.79302E-4</v>
      </c>
      <c r="K45" s="76">
        <v>0</v>
      </c>
      <c r="L45" s="76">
        <v>2.3698376830000001</v>
      </c>
      <c r="M45" s="11">
        <f t="shared" si="13"/>
        <v>2.3700169849999999</v>
      </c>
      <c r="N45" s="63">
        <v>58976634</v>
      </c>
      <c r="O45" s="66">
        <f t="shared" si="5"/>
        <v>1.9288802360799674E-5</v>
      </c>
      <c r="P45" s="66">
        <f t="shared" si="6"/>
        <v>0</v>
      </c>
      <c r="Q45" s="66">
        <f t="shared" si="7"/>
        <v>6.5498807524446834</v>
      </c>
      <c r="R45" s="69">
        <v>5.6099999999999999E-8</v>
      </c>
      <c r="S45" s="69">
        <v>6.1200000000000005E-8</v>
      </c>
      <c r="T45" s="69">
        <v>6.6300000000000005E-8</v>
      </c>
      <c r="U45" s="59">
        <f t="shared" si="1"/>
        <v>6.3818722543061357E-5</v>
      </c>
      <c r="V45" s="59">
        <f t="shared" si="2"/>
        <v>0</v>
      </c>
      <c r="W45" s="59">
        <f t="shared" si="3"/>
        <v>25.611021688082108</v>
      </c>
      <c r="X45" s="59">
        <f t="shared" si="4"/>
        <v>1.0821018124408617E-12</v>
      </c>
      <c r="Y45" s="59">
        <f t="shared" si="4"/>
        <v>0</v>
      </c>
      <c r="Z45" s="59">
        <f t="shared" si="4"/>
        <v>4.3425709388708253E-7</v>
      </c>
      <c r="AA45" s="59"/>
    </row>
    <row r="46" spans="1:99" s="6" customFormat="1" ht="19" x14ac:dyDescent="0.25">
      <c r="A46" s="6" t="s">
        <v>44</v>
      </c>
      <c r="B46" s="9">
        <v>0</v>
      </c>
      <c r="C46" s="7">
        <v>2031781</v>
      </c>
      <c r="D46" s="7">
        <v>5363</v>
      </c>
      <c r="E46" s="6">
        <f t="shared" si="19"/>
        <v>2.0000115170556027E-2</v>
      </c>
      <c r="F46" s="6">
        <f t="shared" si="20"/>
        <v>1.7564767911871045E-4</v>
      </c>
      <c r="G46" s="8">
        <f t="shared" si="21"/>
        <v>3.1493980161343019E-8</v>
      </c>
      <c r="H46" s="7">
        <v>0</v>
      </c>
      <c r="I46" s="3">
        <f t="shared" si="22"/>
        <v>5.4555620218246663E-2</v>
      </c>
      <c r="J46" s="71">
        <v>0</v>
      </c>
      <c r="K46" s="71">
        <v>0</v>
      </c>
      <c r="L46" s="64">
        <v>0.20258161999999999</v>
      </c>
      <c r="N46" s="63">
        <v>7680266</v>
      </c>
      <c r="O46" s="66">
        <f t="shared" si="5"/>
        <v>4.1006366395829287E-6</v>
      </c>
      <c r="P46" s="66">
        <f t="shared" si="6"/>
        <v>0</v>
      </c>
      <c r="Q46" s="66">
        <f t="shared" si="7"/>
        <v>7.1033503550849231</v>
      </c>
      <c r="R46" s="69">
        <v>5.6099999999999999E-8</v>
      </c>
      <c r="S46" s="69">
        <v>6.1200000000000005E-8</v>
      </c>
      <c r="T46" s="69">
        <v>6.6300000000000005E-8</v>
      </c>
      <c r="U46" s="59">
        <f t="shared" si="1"/>
        <v>1.7668122870513433E-6</v>
      </c>
      <c r="V46" s="59">
        <f t="shared" si="2"/>
        <v>0</v>
      </c>
      <c r="W46" s="59">
        <f t="shared" si="3"/>
        <v>3.6170376204697541</v>
      </c>
      <c r="X46" s="59">
        <f t="shared" si="4"/>
        <v>2.3004571548060232E-13</v>
      </c>
      <c r="Y46" s="59">
        <f t="shared" si="4"/>
        <v>0</v>
      </c>
      <c r="Z46" s="59">
        <f t="shared" si="4"/>
        <v>4.7095212854213042E-7</v>
      </c>
      <c r="AA46" s="59"/>
    </row>
    <row r="47" spans="1:99" s="6" customFormat="1" ht="19" x14ac:dyDescent="0.25">
      <c r="A47" s="6" t="s">
        <v>43</v>
      </c>
      <c r="B47" s="9">
        <v>0</v>
      </c>
      <c r="C47" s="7">
        <v>8614452</v>
      </c>
      <c r="D47" s="7">
        <v>8070</v>
      </c>
      <c r="E47" s="6">
        <f t="shared" si="19"/>
        <v>8.4797540744414243E-2</v>
      </c>
      <c r="F47" s="6">
        <f t="shared" si="20"/>
        <v>2.6430668851165271E-4</v>
      </c>
      <c r="G47" s="8">
        <f t="shared" si="21"/>
        <v>4.739071786351635E-8</v>
      </c>
      <c r="H47" s="7">
        <v>0</v>
      </c>
      <c r="I47" s="3">
        <f t="shared" si="22"/>
        <v>0.23130778942234201</v>
      </c>
      <c r="J47" s="71">
        <v>0</v>
      </c>
      <c r="K47" s="71">
        <v>0</v>
      </c>
      <c r="L47" s="64">
        <v>0.15534600000000001</v>
      </c>
      <c r="N47" s="63">
        <v>29458392</v>
      </c>
      <c r="O47" s="66">
        <f t="shared" si="5"/>
        <v>1.6087340362473399E-6</v>
      </c>
      <c r="P47" s="66">
        <f t="shared" si="6"/>
        <v>0</v>
      </c>
      <c r="Q47" s="66">
        <f t="shared" si="7"/>
        <v>7.8520168182411991</v>
      </c>
      <c r="R47" s="69">
        <v>5.6099999999999999E-8</v>
      </c>
      <c r="S47" s="69">
        <v>6.1200000000000005E-8</v>
      </c>
      <c r="T47" s="69">
        <v>6.6300000000000005E-8</v>
      </c>
      <c r="U47" s="59">
        <f t="shared" si="1"/>
        <v>2.658619272143267E-6</v>
      </c>
      <c r="V47" s="59">
        <f t="shared" si="2"/>
        <v>0</v>
      </c>
      <c r="W47" s="59">
        <f t="shared" si="3"/>
        <v>15.335706438701278</v>
      </c>
      <c r="X47" s="59">
        <f t="shared" si="4"/>
        <v>9.0249979433475765E-14</v>
      </c>
      <c r="Y47" s="59">
        <f t="shared" si="4"/>
        <v>0</v>
      </c>
      <c r="Z47" s="59">
        <f t="shared" si="4"/>
        <v>5.2058871504939153E-7</v>
      </c>
      <c r="AA47" s="59"/>
    </row>
    <row r="48" spans="1:99" s="6" customFormat="1" ht="19" x14ac:dyDescent="0.25">
      <c r="A48" s="6" t="s">
        <v>42</v>
      </c>
      <c r="B48" s="9">
        <v>0</v>
      </c>
      <c r="C48" s="7">
        <v>5203291</v>
      </c>
      <c r="D48" s="7">
        <v>815494</v>
      </c>
      <c r="E48" s="6">
        <f t="shared" si="19"/>
        <v>5.1219309200114402E-2</v>
      </c>
      <c r="F48" s="6">
        <f t="shared" si="20"/>
        <v>2.6708862285145192E-2</v>
      </c>
      <c r="G48" s="8">
        <f t="shared" si="21"/>
        <v>4.7889524254511034E-6</v>
      </c>
      <c r="H48" s="7">
        <v>0</v>
      </c>
      <c r="I48" s="3">
        <f t="shared" si="22"/>
        <v>0.13971425447970076</v>
      </c>
      <c r="J48" s="64"/>
      <c r="K48" s="64"/>
      <c r="L48" s="64"/>
      <c r="N48" s="63">
        <v>48124910</v>
      </c>
      <c r="O48" s="66">
        <f t="shared" si="5"/>
        <v>9.9510885847913348E-5</v>
      </c>
      <c r="P48" s="66">
        <f t="shared" si="6"/>
        <v>0</v>
      </c>
      <c r="Q48" s="66">
        <f t="shared" si="7"/>
        <v>2.9031587691218697</v>
      </c>
      <c r="R48" s="69">
        <v>5.6099999999999999E-8</v>
      </c>
      <c r="S48" s="69">
        <v>6.1200000000000005E-8</v>
      </c>
      <c r="T48" s="69">
        <v>6.6300000000000005E-8</v>
      </c>
      <c r="U48" s="59">
        <f t="shared" si="1"/>
        <v>2.6866023106780686E-4</v>
      </c>
      <c r="V48" s="59">
        <f t="shared" si="2"/>
        <v>0</v>
      </c>
      <c r="W48" s="59">
        <f t="shared" si="3"/>
        <v>9.2630550720041605</v>
      </c>
      <c r="X48" s="59">
        <f t="shared" si="4"/>
        <v>5.5825606960679388E-12</v>
      </c>
      <c r="Y48" s="59">
        <f t="shared" si="4"/>
        <v>0</v>
      </c>
      <c r="Z48" s="59">
        <f t="shared" si="4"/>
        <v>1.9247942639277997E-7</v>
      </c>
      <c r="AA48" s="59"/>
    </row>
    <row r="49" spans="1:27" s="6" customFormat="1" ht="19" x14ac:dyDescent="0.25">
      <c r="A49" s="6" t="s">
        <v>41</v>
      </c>
      <c r="B49" s="9">
        <v>0</v>
      </c>
      <c r="C49" s="7">
        <v>337693</v>
      </c>
      <c r="D49" s="7">
        <v>48525</v>
      </c>
      <c r="E49" s="6">
        <f t="shared" si="19"/>
        <v>3.3241273997003497E-3</v>
      </c>
      <c r="F49" s="6">
        <f t="shared" si="20"/>
        <v>1.5892790656788038E-3</v>
      </c>
      <c r="G49" s="8">
        <f t="shared" si="21"/>
        <v>2.849609150343409E-7</v>
      </c>
      <c r="H49" s="7">
        <v>0</v>
      </c>
      <c r="I49" s="3">
        <f t="shared" si="22"/>
        <v>9.0674393836542282E-3</v>
      </c>
      <c r="J49" s="64"/>
      <c r="K49" s="64"/>
      <c r="L49" s="64"/>
      <c r="N49" s="63">
        <v>5886272</v>
      </c>
      <c r="O49" s="66">
        <f t="shared" si="5"/>
        <v>4.8411102143146102E-5</v>
      </c>
      <c r="P49" s="66">
        <f t="shared" si="6"/>
        <v>0</v>
      </c>
      <c r="Q49" s="66">
        <f t="shared" si="7"/>
        <v>1.5404383935459027</v>
      </c>
      <c r="R49" s="69">
        <v>5.6099999999999999E-8</v>
      </c>
      <c r="S49" s="69">
        <v>6.1200000000000005E-8</v>
      </c>
      <c r="T49" s="69">
        <v>6.6300000000000005E-8</v>
      </c>
      <c r="U49" s="59">
        <f t="shared" si="1"/>
        <v>1.5986307333426526E-5</v>
      </c>
      <c r="V49" s="59">
        <f t="shared" si="2"/>
        <v>0</v>
      </c>
      <c r="W49" s="59">
        <f t="shared" si="3"/>
        <v>0.60117123113627535</v>
      </c>
      <c r="X49" s="59">
        <f t="shared" si="4"/>
        <v>2.7158628302304962E-12</v>
      </c>
      <c r="Y49" s="59">
        <f t="shared" si="4"/>
        <v>0</v>
      </c>
      <c r="Z49" s="59">
        <f t="shared" si="4"/>
        <v>1.0213106549209336E-7</v>
      </c>
      <c r="AA49" s="59"/>
    </row>
    <row r="50" spans="1:27" s="6" customFormat="1" ht="19" x14ac:dyDescent="0.25">
      <c r="A50" s="6" t="s">
        <v>40</v>
      </c>
      <c r="B50" s="9">
        <v>0</v>
      </c>
      <c r="C50" s="7">
        <v>1069585</v>
      </c>
      <c r="D50" s="7">
        <v>237675</v>
      </c>
      <c r="E50" s="6">
        <f t="shared" si="19"/>
        <v>1.0528606766526101E-2</v>
      </c>
      <c r="F50" s="6">
        <f t="shared" si="20"/>
        <v>7.7842741254035997E-3</v>
      </c>
      <c r="G50" s="8">
        <f t="shared" si="21"/>
        <v>1.3957359192331162E-6</v>
      </c>
      <c r="H50" s="7">
        <v>0</v>
      </c>
      <c r="I50" s="3">
        <f t="shared" si="22"/>
        <v>2.8719568226660924E-2</v>
      </c>
      <c r="J50" s="64"/>
      <c r="K50" s="64"/>
      <c r="L50" s="64"/>
      <c r="N50" s="63">
        <v>57638924</v>
      </c>
      <c r="O50" s="66">
        <f t="shared" si="5"/>
        <v>2.4215162643097155E-5</v>
      </c>
      <c r="P50" s="66">
        <f t="shared" si="6"/>
        <v>0</v>
      </c>
      <c r="Q50" s="66">
        <f t="shared" si="7"/>
        <v>0.49826690426526565</v>
      </c>
      <c r="R50" s="69">
        <v>5.6099999999999999E-8</v>
      </c>
      <c r="S50" s="69">
        <v>6.1200000000000005E-8</v>
      </c>
      <c r="T50" s="69">
        <v>6.6300000000000005E-8</v>
      </c>
      <c r="U50" s="59">
        <f t="shared" si="1"/>
        <v>7.8300785068977823E-5</v>
      </c>
      <c r="V50" s="59">
        <f t="shared" si="2"/>
        <v>0</v>
      </c>
      <c r="W50" s="59">
        <f t="shared" si="3"/>
        <v>1.9041073734276193</v>
      </c>
      <c r="X50" s="59">
        <f t="shared" si="4"/>
        <v>1.3584706242777505E-12</v>
      </c>
      <c r="Y50" s="59">
        <f t="shared" si="4"/>
        <v>0</v>
      </c>
      <c r="Z50" s="59">
        <f t="shared" si="4"/>
        <v>3.3035095752787117E-8</v>
      </c>
      <c r="AA50" s="59"/>
    </row>
    <row r="51" spans="1:27" s="6" customFormat="1" ht="19" x14ac:dyDescent="0.25">
      <c r="A51" s="6" t="s">
        <v>39</v>
      </c>
      <c r="B51" s="9">
        <v>0</v>
      </c>
      <c r="C51" s="7">
        <v>284767</v>
      </c>
      <c r="D51" s="7">
        <v>18010</v>
      </c>
      <c r="E51" s="6">
        <f t="shared" si="19"/>
        <v>2.8031430536921689E-3</v>
      </c>
      <c r="F51" s="6">
        <f t="shared" si="20"/>
        <v>5.8985916481968587E-4</v>
      </c>
      <c r="G51" s="8">
        <f t="shared" si="21"/>
        <v>1.0576292797049932E-7</v>
      </c>
      <c r="H51" s="7">
        <v>0</v>
      </c>
      <c r="I51" s="3">
        <f t="shared" si="22"/>
        <v>7.6463163612069656E-3</v>
      </c>
      <c r="J51" s="64"/>
      <c r="K51" s="64"/>
      <c r="L51" s="64"/>
      <c r="N51" s="63">
        <v>63798955</v>
      </c>
      <c r="O51" s="66">
        <f t="shared" si="5"/>
        <v>1.6577532965939539E-6</v>
      </c>
      <c r="P51" s="66">
        <f t="shared" si="6"/>
        <v>0</v>
      </c>
      <c r="Q51" s="66">
        <f t="shared" si="7"/>
        <v>0.11985018189101947</v>
      </c>
      <c r="R51" s="69">
        <v>5.6099999999999999E-8</v>
      </c>
      <c r="S51" s="69">
        <v>6.1200000000000005E-8</v>
      </c>
      <c r="T51" s="69">
        <v>6.6300000000000005E-8</v>
      </c>
      <c r="U51" s="59">
        <f t="shared" si="1"/>
        <v>5.9333002591450118E-6</v>
      </c>
      <c r="V51" s="59">
        <f t="shared" si="2"/>
        <v>0</v>
      </c>
      <c r="W51" s="59">
        <f t="shared" si="3"/>
        <v>0.50695077474802186</v>
      </c>
      <c r="X51" s="59">
        <f t="shared" si="4"/>
        <v>9.2999959938920812E-14</v>
      </c>
      <c r="Y51" s="59">
        <f t="shared" si="4"/>
        <v>0</v>
      </c>
      <c r="Z51" s="59">
        <f t="shared" si="4"/>
        <v>7.9460670593745913E-9</v>
      </c>
      <c r="AA51" s="59"/>
    </row>
    <row r="52" spans="1:27" s="6" customFormat="1" ht="19" x14ac:dyDescent="0.25">
      <c r="A52" s="6" t="s">
        <v>38</v>
      </c>
      <c r="B52" s="9">
        <v>0</v>
      </c>
      <c r="C52" s="7">
        <v>271880</v>
      </c>
      <c r="D52" s="7">
        <v>4463</v>
      </c>
      <c r="E52" s="6">
        <f t="shared" si="19"/>
        <v>2.6762881002287023E-3</v>
      </c>
      <c r="F52" s="6">
        <f t="shared" si="20"/>
        <v>1.4617109675681611E-4</v>
      </c>
      <c r="G52" s="8">
        <f t="shared" si="21"/>
        <v>2.6208769990690641E-8</v>
      </c>
      <c r="H52" s="7">
        <v>0</v>
      </c>
      <c r="I52" s="3">
        <f t="shared" si="22"/>
        <v>7.3002858206356411E-3</v>
      </c>
      <c r="J52" s="64"/>
      <c r="K52" s="64"/>
      <c r="L52" s="64"/>
      <c r="N52" s="63">
        <v>7183737</v>
      </c>
      <c r="O52" s="66">
        <f t="shared" si="5"/>
        <v>3.6483476484023063E-6</v>
      </c>
      <c r="P52" s="66">
        <f t="shared" si="6"/>
        <v>0</v>
      </c>
      <c r="Q52" s="66">
        <f t="shared" si="7"/>
        <v>1.016223982119006</v>
      </c>
      <c r="R52" s="69">
        <v>5.6099999999999999E-8</v>
      </c>
      <c r="S52" s="69">
        <v>6.1200000000000005E-8</v>
      </c>
      <c r="T52" s="69">
        <v>6.6300000000000005E-8</v>
      </c>
      <c r="U52" s="59">
        <f t="shared" si="1"/>
        <v>1.470311996477745E-6</v>
      </c>
      <c r="V52" s="59">
        <f t="shared" si="2"/>
        <v>0</v>
      </c>
      <c r="W52" s="59">
        <f t="shared" si="3"/>
        <v>0.48400894990814308</v>
      </c>
      <c r="X52" s="59">
        <f t="shared" si="4"/>
        <v>2.0467230307536938E-13</v>
      </c>
      <c r="Y52" s="59">
        <f t="shared" si="4"/>
        <v>0</v>
      </c>
      <c r="Z52" s="59">
        <f t="shared" si="4"/>
        <v>6.7375650014490108E-8</v>
      </c>
      <c r="AA52" s="59"/>
    </row>
    <row r="53" spans="1:27" s="6" customFormat="1" ht="19" x14ac:dyDescent="0.25">
      <c r="A53" s="6" t="s">
        <v>37</v>
      </c>
      <c r="B53" s="9">
        <v>0</v>
      </c>
      <c r="C53" s="7">
        <v>2987</v>
      </c>
      <c r="D53" s="6">
        <v>585</v>
      </c>
      <c r="E53" s="6">
        <f t="shared" si="19"/>
        <v>2.9402944517372125E-5</v>
      </c>
      <c r="F53" s="6">
        <f t="shared" si="20"/>
        <v>1.9159778535231329E-5</v>
      </c>
      <c r="G53" s="8">
        <f t="shared" si="21"/>
        <v>3.4353866109240477E-9</v>
      </c>
      <c r="H53" s="7">
        <v>0</v>
      </c>
      <c r="I53" s="3">
        <f t="shared" si="22"/>
        <v>8.0204331860521776E-5</v>
      </c>
      <c r="J53" s="64"/>
      <c r="K53" s="64"/>
      <c r="L53" s="64"/>
      <c r="N53" s="63">
        <v>273235</v>
      </c>
      <c r="O53" s="66">
        <f t="shared" si="5"/>
        <v>1.2573010818248203E-5</v>
      </c>
      <c r="P53" s="66">
        <f t="shared" si="6"/>
        <v>0</v>
      </c>
      <c r="Q53" s="66">
        <f t="shared" si="7"/>
        <v>0.29353608381254881</v>
      </c>
      <c r="R53" s="69">
        <v>5.6099999999999999E-8</v>
      </c>
      <c r="S53" s="69">
        <v>6.1200000000000005E-8</v>
      </c>
      <c r="T53" s="69">
        <v>6.6300000000000005E-8</v>
      </c>
      <c r="U53" s="59">
        <f t="shared" si="1"/>
        <v>1.9272518887283907E-7</v>
      </c>
      <c r="V53" s="59">
        <f t="shared" si="2"/>
        <v>0</v>
      </c>
      <c r="W53" s="59">
        <f t="shared" si="3"/>
        <v>5.3175472023525936E-3</v>
      </c>
      <c r="X53" s="59">
        <f t="shared" si="4"/>
        <v>7.0534590690372419E-13</v>
      </c>
      <c r="Y53" s="59">
        <f t="shared" si="4"/>
        <v>0</v>
      </c>
      <c r="Z53" s="59">
        <f t="shared" si="4"/>
        <v>1.9461442356771988E-8</v>
      </c>
      <c r="AA53" s="59"/>
    </row>
    <row r="54" spans="1:27" s="6" customFormat="1" ht="19" x14ac:dyDescent="0.25">
      <c r="A54" s="6" t="s">
        <v>36</v>
      </c>
      <c r="B54" s="9">
        <v>0</v>
      </c>
      <c r="C54" s="7">
        <v>17028</v>
      </c>
      <c r="D54" s="7">
        <v>15518</v>
      </c>
      <c r="E54" s="6">
        <f t="shared" si="19"/>
        <v>1.6761745538728241E-4</v>
      </c>
      <c r="F54" s="6">
        <f t="shared" si="20"/>
        <v>5.0824178343541841E-4</v>
      </c>
      <c r="G54" s="8">
        <f t="shared" si="21"/>
        <v>9.1128768253537396E-8</v>
      </c>
      <c r="H54" s="7">
        <v>0</v>
      </c>
      <c r="I54" s="3">
        <f t="shared" si="22"/>
        <v>4.5722107898257949E-4</v>
      </c>
      <c r="J54" s="64"/>
      <c r="K54" s="64"/>
      <c r="L54" s="64"/>
      <c r="N54" s="63">
        <v>2486383</v>
      </c>
      <c r="O54" s="66">
        <f t="shared" si="5"/>
        <v>3.665113872381584E-5</v>
      </c>
      <c r="P54" s="66">
        <f t="shared" si="6"/>
        <v>0</v>
      </c>
      <c r="Q54" s="66">
        <f t="shared" si="7"/>
        <v>0.1838900438840595</v>
      </c>
      <c r="R54" s="69">
        <v>5.6099999999999999E-8</v>
      </c>
      <c r="S54" s="69">
        <v>6.1200000000000005E-8</v>
      </c>
      <c r="T54" s="69">
        <v>6.6300000000000005E-8</v>
      </c>
      <c r="U54" s="59">
        <f t="shared" si="1"/>
        <v>5.1123238990234481E-6</v>
      </c>
      <c r="V54" s="59">
        <f t="shared" si="2"/>
        <v>0</v>
      </c>
      <c r="W54" s="59">
        <f t="shared" si="3"/>
        <v>3.0313757536545024E-2</v>
      </c>
      <c r="X54" s="59">
        <f t="shared" si="4"/>
        <v>2.0561288824060685E-12</v>
      </c>
      <c r="Y54" s="59">
        <f t="shared" si="4"/>
        <v>0</v>
      </c>
      <c r="Z54" s="59">
        <f t="shared" si="4"/>
        <v>1.2191909909513145E-8</v>
      </c>
      <c r="AA54" s="59"/>
    </row>
    <row r="55" spans="1:27" s="6" customFormat="1" ht="19" x14ac:dyDescent="0.25">
      <c r="A55" s="6" t="s">
        <v>35</v>
      </c>
      <c r="B55" s="9">
        <v>0</v>
      </c>
      <c r="C55" s="7">
        <v>5869209</v>
      </c>
      <c r="D55" s="7">
        <v>201313</v>
      </c>
      <c r="E55" s="6">
        <f t="shared" si="19"/>
        <v>5.7774364441868474E-2</v>
      </c>
      <c r="F55" s="6">
        <f t="shared" si="20"/>
        <v>6.5933546944667082E-3</v>
      </c>
      <c r="G55" s="8">
        <f t="shared" si="21"/>
        <v>1.1822016834272696E-6</v>
      </c>
      <c r="H55" s="7">
        <v>0</v>
      </c>
      <c r="I55" s="3">
        <f t="shared" si="22"/>
        <v>0.15759490672740581</v>
      </c>
      <c r="J55" s="64"/>
      <c r="K55" s="64"/>
      <c r="L55" s="64"/>
      <c r="N55" s="63">
        <v>138097699</v>
      </c>
      <c r="O55" s="66">
        <f t="shared" si="5"/>
        <v>8.5606182578557636E-6</v>
      </c>
      <c r="P55" s="66">
        <f t="shared" si="6"/>
        <v>0</v>
      </c>
      <c r="Q55" s="66">
        <f t="shared" si="7"/>
        <v>1.141184160696304</v>
      </c>
      <c r="R55" s="69">
        <v>5.6099999999999999E-8</v>
      </c>
      <c r="S55" s="69">
        <v>6.1200000000000005E-8</v>
      </c>
      <c r="T55" s="69">
        <v>6.6300000000000005E-8</v>
      </c>
      <c r="U55" s="59">
        <f t="shared" si="1"/>
        <v>6.6321514440269833E-5</v>
      </c>
      <c r="V55" s="59">
        <f t="shared" si="2"/>
        <v>0</v>
      </c>
      <c r="W55" s="59">
        <f t="shared" si="3"/>
        <v>10.448542316027005</v>
      </c>
      <c r="X55" s="59">
        <f t="shared" si="4"/>
        <v>4.8025068426570835E-13</v>
      </c>
      <c r="Y55" s="59">
        <f t="shared" si="4"/>
        <v>0</v>
      </c>
      <c r="Z55" s="59">
        <f t="shared" si="4"/>
        <v>7.5660509854164962E-8</v>
      </c>
      <c r="AA55" s="59"/>
    </row>
    <row r="56" spans="1:27" s="6" customFormat="1" ht="19" x14ac:dyDescent="0.25">
      <c r="A56" s="6" t="s">
        <v>34</v>
      </c>
      <c r="B56" s="9">
        <v>0</v>
      </c>
      <c r="C56" s="7">
        <v>250668</v>
      </c>
      <c r="D56" s="7">
        <v>6210</v>
      </c>
      <c r="E56" s="6">
        <f t="shared" si="19"/>
        <v>2.4674848665151108E-3</v>
      </c>
      <c r="F56" s="6">
        <f t="shared" si="20"/>
        <v>2.0338841829707101E-4</v>
      </c>
      <c r="G56" s="8">
        <f t="shared" si="21"/>
        <v>3.6467950177501429E-8</v>
      </c>
      <c r="H56" s="7">
        <v>0</v>
      </c>
      <c r="I56" s="3">
        <f t="shared" si="22"/>
        <v>6.7307196045575069E-3</v>
      </c>
      <c r="J56" s="64"/>
      <c r="K56" s="64"/>
      <c r="L56" s="64"/>
      <c r="N56" s="63">
        <v>23091534</v>
      </c>
      <c r="O56" s="66">
        <f t="shared" si="5"/>
        <v>1.5792779369920347E-6</v>
      </c>
      <c r="P56" s="66">
        <f t="shared" si="6"/>
        <v>0</v>
      </c>
      <c r="Q56" s="66">
        <f t="shared" si="7"/>
        <v>0.29147996857019148</v>
      </c>
      <c r="R56" s="69">
        <v>5.6099999999999999E-8</v>
      </c>
      <c r="S56" s="69">
        <v>6.1200000000000005E-8</v>
      </c>
      <c r="T56" s="69">
        <v>6.6300000000000005E-8</v>
      </c>
      <c r="U56" s="59">
        <f t="shared" si="1"/>
        <v>2.0458520049578301E-6</v>
      </c>
      <c r="V56" s="59">
        <f t="shared" si="2"/>
        <v>0</v>
      </c>
      <c r="W56" s="59">
        <f t="shared" si="3"/>
        <v>0.44624670978216274</v>
      </c>
      <c r="X56" s="59">
        <f t="shared" si="4"/>
        <v>8.8597492265253147E-14</v>
      </c>
      <c r="Y56" s="59">
        <f t="shared" si="4"/>
        <v>0</v>
      </c>
      <c r="Z56" s="59">
        <f t="shared" si="4"/>
        <v>1.9325121916203697E-8</v>
      </c>
      <c r="AA56" s="59"/>
    </row>
    <row r="57" spans="1:27" s="6" customFormat="1" ht="19" x14ac:dyDescent="0.25">
      <c r="A57" s="6" t="s">
        <v>33</v>
      </c>
      <c r="B57" s="9">
        <v>0</v>
      </c>
      <c r="C57" s="7">
        <v>701484</v>
      </c>
      <c r="D57" s="7">
        <v>19234</v>
      </c>
      <c r="E57" s="6">
        <f t="shared" si="19"/>
        <v>6.9051540448022324E-3</v>
      </c>
      <c r="F57" s="6">
        <f t="shared" si="20"/>
        <v>6.2994731683186213E-4</v>
      </c>
      <c r="G57" s="8">
        <f t="shared" si="21"/>
        <v>1.1295081380258655E-7</v>
      </c>
      <c r="H57" s="7">
        <v>0</v>
      </c>
      <c r="I57" s="3">
        <f t="shared" si="22"/>
        <v>1.8835639615281639E-2</v>
      </c>
      <c r="J57" s="64"/>
      <c r="K57" s="64"/>
      <c r="L57" s="64"/>
      <c r="N57" s="63">
        <v>12641599</v>
      </c>
      <c r="O57" s="66">
        <f t="shared" si="5"/>
        <v>8.9348518176052379E-6</v>
      </c>
      <c r="P57" s="66">
        <f t="shared" si="6"/>
        <v>0</v>
      </c>
      <c r="Q57" s="66">
        <f t="shared" si="7"/>
        <v>1.489972875684606</v>
      </c>
      <c r="R57" s="69">
        <v>5.6099999999999999E-8</v>
      </c>
      <c r="S57" s="69">
        <v>6.1200000000000005E-8</v>
      </c>
      <c r="T57" s="69">
        <v>6.6300000000000005E-8</v>
      </c>
      <c r="U57" s="59">
        <f t="shared" si="1"/>
        <v>6.3365406543251053E-6</v>
      </c>
      <c r="V57" s="59">
        <f t="shared" si="2"/>
        <v>0</v>
      </c>
      <c r="W57" s="59">
        <f t="shared" si="3"/>
        <v>1.2488029064931727</v>
      </c>
      <c r="X57" s="59">
        <f t="shared" si="4"/>
        <v>5.012451869676538E-13</v>
      </c>
      <c r="Y57" s="59">
        <f t="shared" si="4"/>
        <v>0</v>
      </c>
      <c r="Z57" s="59">
        <f t="shared" si="4"/>
        <v>9.8785201657889387E-8</v>
      </c>
      <c r="AA57" s="59"/>
    </row>
    <row r="58" spans="1:27" s="6" customFormat="1" ht="19" x14ac:dyDescent="0.25">
      <c r="A58" s="6" t="s">
        <v>32</v>
      </c>
      <c r="B58" s="9">
        <v>0</v>
      </c>
      <c r="C58" s="7">
        <v>234361</v>
      </c>
      <c r="D58" s="7">
        <v>8859</v>
      </c>
      <c r="E58" s="6">
        <f t="shared" si="19"/>
        <v>2.3069646735975387E-3</v>
      </c>
      <c r="F58" s="6">
        <f t="shared" si="20"/>
        <v>2.9014782571558004E-4</v>
      </c>
      <c r="G58" s="8">
        <f t="shared" si="21"/>
        <v>5.2024085446454934E-8</v>
      </c>
      <c r="H58" s="7">
        <v>0</v>
      </c>
      <c r="I58" s="3">
        <f t="shared" si="22"/>
        <v>6.292858191886087E-3</v>
      </c>
      <c r="J58" s="64"/>
      <c r="K58" s="64"/>
      <c r="L58" s="64"/>
      <c r="N58" s="63">
        <v>108314035</v>
      </c>
      <c r="O58" s="66">
        <f t="shared" si="5"/>
        <v>4.803078885063689E-7</v>
      </c>
      <c r="P58" s="66">
        <f t="shared" si="6"/>
        <v>0</v>
      </c>
      <c r="Q58" s="66">
        <f t="shared" si="7"/>
        <v>5.8098271307925026E-2</v>
      </c>
      <c r="R58" s="69">
        <v>5.6099999999999999E-8</v>
      </c>
      <c r="S58" s="69">
        <v>6.1200000000000005E-8</v>
      </c>
      <c r="T58" s="69">
        <v>6.6300000000000005E-8</v>
      </c>
      <c r="U58" s="59">
        <f t="shared" si="1"/>
        <v>2.9185511935461217E-6</v>
      </c>
      <c r="V58" s="59">
        <f t="shared" si="2"/>
        <v>0</v>
      </c>
      <c r="W58" s="59">
        <f t="shared" si="3"/>
        <v>0.41721649812204764</v>
      </c>
      <c r="X58" s="59">
        <f t="shared" si="4"/>
        <v>2.6945272545207297E-14</v>
      </c>
      <c r="Y58" s="59">
        <f t="shared" si="4"/>
        <v>0</v>
      </c>
      <c r="Z58" s="59">
        <f t="shared" si="4"/>
        <v>3.8519153877154297E-9</v>
      </c>
      <c r="AA58" s="59"/>
    </row>
    <row r="59" spans="1:27" s="6" customFormat="1" ht="19" x14ac:dyDescent="0.25">
      <c r="A59" s="6" t="s">
        <v>31</v>
      </c>
      <c r="B59" s="9">
        <v>0</v>
      </c>
      <c r="C59" s="7">
        <v>28141</v>
      </c>
      <c r="D59" s="6">
        <v>410</v>
      </c>
      <c r="E59" s="6">
        <f t="shared" si="19"/>
        <v>2.7700979633859022E-4</v>
      </c>
      <c r="F59" s="6">
        <f t="shared" si="20"/>
        <v>1.3428220853751871E-5</v>
      </c>
      <c r="G59" s="8">
        <f t="shared" si="21"/>
        <v>2.407706855519418E-9</v>
      </c>
      <c r="H59" s="7">
        <v>0</v>
      </c>
      <c r="I59" s="3">
        <f t="shared" si="22"/>
        <v>7.5561771104350293E-4</v>
      </c>
      <c r="J59" s="64"/>
      <c r="K59" s="64"/>
      <c r="L59" s="64"/>
      <c r="N59" s="63">
        <v>19533188</v>
      </c>
      <c r="O59" s="66">
        <f t="shared" si="5"/>
        <v>1.2326236022094388E-7</v>
      </c>
      <c r="P59" s="66">
        <f t="shared" si="6"/>
        <v>0</v>
      </c>
      <c r="Q59" s="66">
        <f t="shared" si="7"/>
        <v>3.8683788383314745E-2</v>
      </c>
      <c r="R59" s="69">
        <v>5.6099999999999999E-8</v>
      </c>
      <c r="S59" s="69">
        <v>6.1200000000000005E-8</v>
      </c>
      <c r="T59" s="69">
        <v>6.6300000000000005E-8</v>
      </c>
      <c r="U59" s="59">
        <f t="shared" si="1"/>
        <v>1.3507235459463936E-7</v>
      </c>
      <c r="V59" s="59">
        <f t="shared" si="2"/>
        <v>0</v>
      </c>
      <c r="W59" s="59">
        <f t="shared" si="3"/>
        <v>5.0097454242184251E-2</v>
      </c>
      <c r="X59" s="59">
        <f t="shared" si="4"/>
        <v>6.9150184083949516E-15</v>
      </c>
      <c r="Y59" s="59">
        <f t="shared" si="4"/>
        <v>0</v>
      </c>
      <c r="Z59" s="59">
        <f t="shared" si="4"/>
        <v>2.5647351698137679E-9</v>
      </c>
      <c r="AA59" s="59"/>
    </row>
    <row r="60" spans="1:27" s="6" customFormat="1" ht="19" x14ac:dyDescent="0.25">
      <c r="A60" s="6" t="s">
        <v>30</v>
      </c>
      <c r="B60" s="9">
        <v>0</v>
      </c>
      <c r="C60" s="7">
        <v>11833</v>
      </c>
      <c r="D60" s="6">
        <v>347</v>
      </c>
      <c r="E60" s="6">
        <f t="shared" si="19"/>
        <v>1.1647975978375104E-4</v>
      </c>
      <c r="F60" s="6">
        <f t="shared" si="20"/>
        <v>1.1364860088419266E-5</v>
      </c>
      <c r="G60" s="8">
        <f t="shared" si="21"/>
        <v>2.0377421435737512E-9</v>
      </c>
      <c r="H60" s="7">
        <v>0</v>
      </c>
      <c r="I60" s="3">
        <f t="shared" si="22"/>
        <v>3.1772944723989095E-4</v>
      </c>
      <c r="J60" s="64"/>
      <c r="K60" s="64"/>
      <c r="L60" s="64"/>
      <c r="N60" s="63">
        <v>2067169</v>
      </c>
      <c r="O60" s="66">
        <f t="shared" si="5"/>
        <v>9.8576465860979497E-7</v>
      </c>
      <c r="P60" s="66">
        <f t="shared" si="6"/>
        <v>0</v>
      </c>
      <c r="Q60" s="66">
        <f t="shared" si="7"/>
        <v>0.15370269544478024</v>
      </c>
      <c r="R60" s="69">
        <v>5.6099999999999999E-8</v>
      </c>
      <c r="S60" s="69">
        <v>6.1200000000000005E-8</v>
      </c>
      <c r="T60" s="69">
        <v>6.6300000000000005E-8</v>
      </c>
      <c r="U60" s="59">
        <f t="shared" si="1"/>
        <v>1.1431733425448743E-7</v>
      </c>
      <c r="V60" s="59">
        <f t="shared" si="2"/>
        <v>0</v>
      </c>
      <c r="W60" s="59">
        <f t="shared" si="3"/>
        <v>2.1065462352004769E-2</v>
      </c>
      <c r="X60" s="59">
        <f t="shared" si="4"/>
        <v>5.53013973480095E-14</v>
      </c>
      <c r="Y60" s="59">
        <f t="shared" si="4"/>
        <v>0</v>
      </c>
      <c r="Z60" s="59">
        <f t="shared" si="4"/>
        <v>1.0190488707988931E-8</v>
      </c>
      <c r="AA60" s="59"/>
    </row>
    <row r="61" spans="1:27" s="6" customFormat="1" ht="19" x14ac:dyDescent="0.25">
      <c r="A61" s="6" t="s">
        <v>29</v>
      </c>
      <c r="B61" s="10">
        <v>51804</v>
      </c>
      <c r="C61" s="7">
        <v>270665</v>
      </c>
      <c r="D61" s="7">
        <v>982175</v>
      </c>
      <c r="E61" s="6">
        <f t="shared" si="19"/>
        <v>3.1742678659432448E-3</v>
      </c>
      <c r="F61" s="6">
        <f t="shared" si="20"/>
        <v>3.2167958090326208E-2</v>
      </c>
      <c r="G61" s="8">
        <f t="shared" si="21"/>
        <v>5.7677792215116697E-6</v>
      </c>
      <c r="H61" s="7">
        <v>0</v>
      </c>
      <c r="I61" s="3">
        <f t="shared" si="22"/>
        <v>8.6586577471478403E-3</v>
      </c>
      <c r="J61" s="64"/>
      <c r="K61" s="64"/>
      <c r="L61" s="64"/>
      <c r="N61" s="63">
        <v>240566225</v>
      </c>
      <c r="O61" s="66">
        <f t="shared" si="5"/>
        <v>2.3975847904300239E-5</v>
      </c>
      <c r="P61" s="66">
        <f t="shared" si="6"/>
        <v>0</v>
      </c>
      <c r="Q61" s="66">
        <f t="shared" si="7"/>
        <v>3.5992823793730151E-2</v>
      </c>
      <c r="R61" s="69">
        <v>5.6099999999999999E-8</v>
      </c>
      <c r="S61" s="69">
        <v>6.1200000000000005E-8</v>
      </c>
      <c r="T61" s="69">
        <v>6.6300000000000005E-8</v>
      </c>
      <c r="U61" s="59">
        <f t="shared" si="1"/>
        <v>3.2357241432680469E-4</v>
      </c>
      <c r="V61" s="59">
        <f t="shared" si="2"/>
        <v>0</v>
      </c>
      <c r="W61" s="59">
        <f t="shared" si="3"/>
        <v>0.57406900863590182</v>
      </c>
      <c r="X61" s="59">
        <f t="shared" si="4"/>
        <v>1.3450450674312435E-12</v>
      </c>
      <c r="Y61" s="59">
        <f t="shared" si="4"/>
        <v>0</v>
      </c>
      <c r="Z61" s="59">
        <f t="shared" si="4"/>
        <v>2.3863242175243091E-9</v>
      </c>
      <c r="AA61" s="59"/>
    </row>
    <row r="62" spans="1:27" s="6" customFormat="1" ht="19" x14ac:dyDescent="0.25">
      <c r="A62" s="6" t="s">
        <v>28</v>
      </c>
      <c r="B62" s="9">
        <v>0</v>
      </c>
      <c r="C62" s="7">
        <v>260329</v>
      </c>
      <c r="D62" s="7">
        <v>110563</v>
      </c>
      <c r="E62" s="6">
        <f t="shared" si="19"/>
        <v>2.5625842461543249E-3</v>
      </c>
      <c r="F62" s="6">
        <f t="shared" si="20"/>
        <v>3.6211326396423612E-3</v>
      </c>
      <c r="G62" s="8">
        <f t="shared" si="21"/>
        <v>6.4927632455315461E-7</v>
      </c>
      <c r="H62" s="7">
        <v>0</v>
      </c>
      <c r="I62" s="3">
        <f t="shared" si="22"/>
        <v>6.9901283926741796E-3</v>
      </c>
      <c r="J62" s="64"/>
      <c r="K62" s="64"/>
      <c r="L62" s="64"/>
      <c r="N62" s="63">
        <v>5264605</v>
      </c>
      <c r="O62" s="66">
        <f t="shared" si="5"/>
        <v>1.2332859246860014E-4</v>
      </c>
      <c r="P62" s="66">
        <f t="shared" si="6"/>
        <v>0</v>
      </c>
      <c r="Q62" s="66">
        <f t="shared" si="7"/>
        <v>1.3277593271810857</v>
      </c>
      <c r="R62" s="69">
        <v>5.6099999999999999E-8</v>
      </c>
      <c r="S62" s="69">
        <v>6.1200000000000005E-8</v>
      </c>
      <c r="T62" s="69">
        <v>6.6300000000000005E-8</v>
      </c>
      <c r="U62" s="59">
        <f t="shared" si="1"/>
        <v>3.6424401807431974E-5</v>
      </c>
      <c r="V62" s="59">
        <f t="shared" si="2"/>
        <v>0</v>
      </c>
      <c r="W62" s="59">
        <f t="shared" si="3"/>
        <v>0.46344551243429816</v>
      </c>
      <c r="X62" s="59">
        <f t="shared" si="4"/>
        <v>6.9187340374884674E-12</v>
      </c>
      <c r="Y62" s="59">
        <f t="shared" si="4"/>
        <v>0</v>
      </c>
      <c r="Z62" s="59">
        <f t="shared" si="4"/>
        <v>8.8030443392105984E-8</v>
      </c>
      <c r="AA62" s="59"/>
    </row>
    <row r="63" spans="1:27" s="6" customFormat="1" ht="19" x14ac:dyDescent="0.25">
      <c r="A63" s="6" t="s">
        <v>27</v>
      </c>
      <c r="B63" s="9">
        <v>0</v>
      </c>
      <c r="C63" s="7">
        <v>457006</v>
      </c>
      <c r="D63" s="7">
        <v>19146</v>
      </c>
      <c r="E63" s="6">
        <f t="shared" si="19"/>
        <v>4.4986012929715989E-3</v>
      </c>
      <c r="F63" s="6">
        <f t="shared" si="20"/>
        <v>6.2706516211203246E-4</v>
      </c>
      <c r="G63" s="8">
        <f t="shared" si="21"/>
        <v>1.1243403769701165E-7</v>
      </c>
      <c r="H63" s="7">
        <v>0</v>
      </c>
      <c r="I63" s="3">
        <f t="shared" si="22"/>
        <v>1.2271128518998867E-2</v>
      </c>
      <c r="J63" s="64"/>
      <c r="K63" s="64"/>
      <c r="L63" s="64"/>
      <c r="N63" s="63">
        <v>5287036</v>
      </c>
      <c r="O63" s="66">
        <f t="shared" si="5"/>
        <v>2.1265986782955827E-5</v>
      </c>
      <c r="P63" s="66">
        <f t="shared" si="6"/>
        <v>0</v>
      </c>
      <c r="Q63" s="66">
        <f t="shared" si="7"/>
        <v>2.3209844833662694</v>
      </c>
      <c r="R63" s="69">
        <v>5.6099999999999999E-8</v>
      </c>
      <c r="S63" s="69">
        <v>6.1200000000000005E-8</v>
      </c>
      <c r="T63" s="69">
        <v>6.6300000000000005E-8</v>
      </c>
      <c r="U63" s="59">
        <f t="shared" si="1"/>
        <v>6.3075495148023528E-6</v>
      </c>
      <c r="V63" s="59">
        <f t="shared" si="2"/>
        <v>0</v>
      </c>
      <c r="W63" s="59">
        <f t="shared" si="3"/>
        <v>0.81357582080962498</v>
      </c>
      <c r="X63" s="59">
        <f t="shared" si="4"/>
        <v>1.1930218585238219E-12</v>
      </c>
      <c r="Y63" s="59">
        <f t="shared" si="4"/>
        <v>0</v>
      </c>
      <c r="Z63" s="59">
        <f t="shared" si="4"/>
        <v>1.5388127124718367E-7</v>
      </c>
      <c r="AA63" s="59"/>
    </row>
    <row r="64" spans="1:27" s="6" customFormat="1" ht="19" x14ac:dyDescent="0.25">
      <c r="A64" s="6" t="s">
        <v>26</v>
      </c>
      <c r="B64" s="9">
        <v>0</v>
      </c>
      <c r="C64" s="7">
        <v>91827</v>
      </c>
      <c r="D64" s="7">
        <v>7175</v>
      </c>
      <c r="E64" s="6">
        <f t="shared" si="19"/>
        <v>9.0391167934272853E-4</v>
      </c>
      <c r="F64" s="6">
        <f t="shared" si="20"/>
        <v>2.3499386494065774E-4</v>
      </c>
      <c r="G64" s="8">
        <f t="shared" si="21"/>
        <v>4.2134869971589812E-8</v>
      </c>
      <c r="H64" s="7">
        <v>0</v>
      </c>
      <c r="I64" s="3">
        <f t="shared" si="22"/>
        <v>2.4656589158875571E-3</v>
      </c>
      <c r="J64" s="64"/>
      <c r="K64" s="64"/>
      <c r="L64" s="64"/>
      <c r="N64" s="63">
        <v>14491782</v>
      </c>
      <c r="O64" s="66">
        <f t="shared" si="5"/>
        <v>2.9075009527185691E-6</v>
      </c>
      <c r="P64" s="66">
        <f t="shared" si="6"/>
        <v>0</v>
      </c>
      <c r="Q64" s="66">
        <f t="shared" si="7"/>
        <v>0.17014187184761387</v>
      </c>
      <c r="R64" s="69">
        <v>5.6099999999999999E-8</v>
      </c>
      <c r="S64" s="69">
        <v>6.1200000000000005E-8</v>
      </c>
      <c r="T64" s="69">
        <v>6.6300000000000005E-8</v>
      </c>
      <c r="U64" s="59">
        <f t="shared" si="1"/>
        <v>2.3637662054061886E-6</v>
      </c>
      <c r="V64" s="59">
        <f t="shared" si="2"/>
        <v>0</v>
      </c>
      <c r="W64" s="59">
        <f t="shared" si="3"/>
        <v>0.16347318612334505</v>
      </c>
      <c r="X64" s="59">
        <f t="shared" si="4"/>
        <v>1.6311080344751172E-13</v>
      </c>
      <c r="Y64" s="59">
        <f t="shared" si="4"/>
        <v>0</v>
      </c>
      <c r="Z64" s="59">
        <f t="shared" si="4"/>
        <v>1.12804061034968E-8</v>
      </c>
      <c r="AA64" s="59"/>
    </row>
    <row r="65" spans="1:27" s="6" customFormat="1" ht="19" x14ac:dyDescent="0.25">
      <c r="A65" s="6" t="s">
        <v>25</v>
      </c>
      <c r="B65" s="9">
        <v>0</v>
      </c>
      <c r="C65" s="7">
        <v>41731</v>
      </c>
      <c r="D65" s="7">
        <v>58556</v>
      </c>
      <c r="E65" s="6">
        <f t="shared" si="19"/>
        <v>4.1078482680095618E-4</v>
      </c>
      <c r="F65" s="6">
        <f t="shared" si="20"/>
        <v>1.9178119519812063E-3</v>
      </c>
      <c r="G65" s="8">
        <f t="shared" si="21"/>
        <v>3.4386751861413427E-7</v>
      </c>
      <c r="H65" s="7">
        <v>0</v>
      </c>
      <c r="I65" s="3">
        <f t="shared" si="22"/>
        <v>1.1205245975465128E-3</v>
      </c>
      <c r="J65" s="64"/>
      <c r="K65" s="64"/>
      <c r="L65" s="64"/>
      <c r="N65" s="63">
        <v>3088567</v>
      </c>
      <c r="O65" s="66">
        <f t="shared" si="5"/>
        <v>1.113356189501909E-4</v>
      </c>
      <c r="P65" s="66">
        <f t="shared" si="6"/>
        <v>0</v>
      </c>
      <c r="Q65" s="66">
        <f t="shared" si="7"/>
        <v>0.36279756843432986</v>
      </c>
      <c r="R65" s="69">
        <v>5.6099999999999999E-8</v>
      </c>
      <c r="S65" s="69">
        <v>6.1200000000000005E-8</v>
      </c>
      <c r="T65" s="69">
        <v>6.6300000000000005E-8</v>
      </c>
      <c r="U65" s="59">
        <f t="shared" si="1"/>
        <v>1.9290967794252934E-5</v>
      </c>
      <c r="V65" s="59">
        <f t="shared" si="2"/>
        <v>0</v>
      </c>
      <c r="W65" s="59">
        <f t="shared" si="3"/>
        <v>7.4290780817333812E-2</v>
      </c>
      <c r="X65" s="59">
        <f t="shared" si="4"/>
        <v>6.2459282231057092E-12</v>
      </c>
      <c r="Y65" s="59">
        <f t="shared" si="4"/>
        <v>0</v>
      </c>
      <c r="Z65" s="59">
        <f t="shared" si="4"/>
        <v>2.4053478787196072E-8</v>
      </c>
      <c r="AA65" s="59"/>
    </row>
    <row r="66" spans="1:27" s="6" customFormat="1" ht="19" x14ac:dyDescent="0.25">
      <c r="A66" s="6" t="s">
        <v>24</v>
      </c>
      <c r="B66" s="9">
        <v>0</v>
      </c>
      <c r="C66" s="7">
        <v>816653</v>
      </c>
      <c r="D66" s="7">
        <v>31313</v>
      </c>
      <c r="E66" s="6">
        <f t="shared" si="19"/>
        <v>8.0388359052378632E-3</v>
      </c>
      <c r="F66" s="6">
        <f t="shared" si="20"/>
        <v>1.0255558038866643E-3</v>
      </c>
      <c r="G66" s="8">
        <f t="shared" si="21"/>
        <v>1.8388420674848669E-7</v>
      </c>
      <c r="H66" s="7">
        <v>0</v>
      </c>
      <c r="I66" s="3">
        <f t="shared" si="22"/>
        <v>2.1928057658818442E-2</v>
      </c>
      <c r="J66" s="64"/>
      <c r="K66" s="64"/>
      <c r="L66" s="64"/>
      <c r="N66" s="63">
        <v>9948883</v>
      </c>
      <c r="O66" s="66">
        <f t="shared" si="5"/>
        <v>1.8482899713313211E-5</v>
      </c>
      <c r="P66" s="66">
        <f t="shared" si="6"/>
        <v>0</v>
      </c>
      <c r="Q66" s="66">
        <f t="shared" si="7"/>
        <v>2.2040723223721135</v>
      </c>
      <c r="R66" s="69">
        <v>5.6099999999999999E-8</v>
      </c>
      <c r="S66" s="69">
        <v>6.1200000000000005E-8</v>
      </c>
      <c r="T66" s="69">
        <v>6.6300000000000005E-8</v>
      </c>
      <c r="U66" s="59">
        <f t="shared" si="1"/>
        <v>1.0315903998590103E-5</v>
      </c>
      <c r="V66" s="59">
        <f t="shared" si="2"/>
        <v>0</v>
      </c>
      <c r="W66" s="59">
        <f t="shared" si="3"/>
        <v>1.4538302227796627</v>
      </c>
      <c r="X66" s="59">
        <f t="shared" si="4"/>
        <v>1.036890673916871E-12</v>
      </c>
      <c r="Y66" s="59">
        <f t="shared" si="4"/>
        <v>0</v>
      </c>
      <c r="Z66" s="59">
        <f t="shared" si="4"/>
        <v>1.4612999497327114E-7</v>
      </c>
      <c r="AA66" s="59"/>
    </row>
    <row r="67" spans="1:27" s="6" customFormat="1" ht="19" x14ac:dyDescent="0.25">
      <c r="A67" s="6" t="s">
        <v>23</v>
      </c>
      <c r="B67" s="9">
        <v>0</v>
      </c>
      <c r="C67" s="7">
        <v>240347</v>
      </c>
      <c r="D67" s="7">
        <v>25227</v>
      </c>
      <c r="E67" s="6">
        <f t="shared" si="19"/>
        <v>2.3658886862794903E-3</v>
      </c>
      <c r="F67" s="6">
        <f t="shared" si="20"/>
        <v>8.2622860360389867E-4</v>
      </c>
      <c r="G67" s="8">
        <f t="shared" si="21"/>
        <v>1.4814444108338623E-7</v>
      </c>
      <c r="H67" s="7">
        <v>0</v>
      </c>
      <c r="I67" s="3">
        <f t="shared" si="22"/>
        <v>6.453589069193447E-3</v>
      </c>
      <c r="J67" s="64"/>
      <c r="K67" s="64"/>
      <c r="L67" s="64"/>
      <c r="N67" s="63">
        <v>4755021</v>
      </c>
      <c r="O67" s="66">
        <f t="shared" si="5"/>
        <v>3.1155370519580507E-5</v>
      </c>
      <c r="P67" s="66">
        <f t="shared" si="6"/>
        <v>0</v>
      </c>
      <c r="Q67" s="66">
        <f t="shared" si="7"/>
        <v>1.3572156819482917</v>
      </c>
      <c r="R67" s="69">
        <v>5.6099999999999999E-8</v>
      </c>
      <c r="S67" s="69">
        <v>6.1200000000000005E-8</v>
      </c>
      <c r="T67" s="69">
        <v>6.6300000000000005E-8</v>
      </c>
      <c r="U67" s="59">
        <f t="shared" ref="U67:U87" si="23">R67*G67*1000000000</f>
        <v>8.3109031447779683E-6</v>
      </c>
      <c r="V67" s="59">
        <f t="shared" ref="V67:V87" si="24">S67*H67*1000000000</f>
        <v>0</v>
      </c>
      <c r="W67" s="59">
        <f t="shared" ref="W67:W87" si="25">T67*I67*1000000000</f>
        <v>0.42787295528752556</v>
      </c>
      <c r="X67" s="59">
        <f t="shared" ref="X67:Z87" si="26">R67*O67</f>
        <v>1.7478162861484664E-12</v>
      </c>
      <c r="Y67" s="59">
        <f t="shared" si="26"/>
        <v>0</v>
      </c>
      <c r="Z67" s="59">
        <f t="shared" si="26"/>
        <v>8.9983399713171749E-8</v>
      </c>
      <c r="AA67" s="59"/>
    </row>
    <row r="68" spans="1:27" s="6" customFormat="1" ht="19" x14ac:dyDescent="0.25">
      <c r="A68" s="6" t="s">
        <v>22</v>
      </c>
      <c r="B68" s="9">
        <v>0</v>
      </c>
      <c r="C68" s="7">
        <v>45111</v>
      </c>
      <c r="D68" s="7">
        <v>8092</v>
      </c>
      <c r="E68" s="6">
        <f t="shared" si="19"/>
        <v>4.4405632076437027E-4</v>
      </c>
      <c r="F68" s="6">
        <f t="shared" si="20"/>
        <v>2.6502722719161012E-4</v>
      </c>
      <c r="G68" s="8">
        <f t="shared" si="21"/>
        <v>4.7519911889910079E-8</v>
      </c>
      <c r="H68" s="7">
        <v>0</v>
      </c>
      <c r="I68" s="3">
        <f t="shared" si="22"/>
        <v>1.2112814243588879E-3</v>
      </c>
      <c r="J68" s="64"/>
      <c r="K68" s="64"/>
      <c r="L68" s="64"/>
      <c r="N68" s="63">
        <v>684436</v>
      </c>
      <c r="O68" s="66">
        <f t="shared" si="5"/>
        <v>6.9429299291548198E-5</v>
      </c>
      <c r="P68" s="66">
        <f t="shared" si="6"/>
        <v>0</v>
      </c>
      <c r="Q68" s="66">
        <f t="shared" si="7"/>
        <v>1.7697511883636861</v>
      </c>
      <c r="R68" s="69">
        <v>5.6099999999999999E-8</v>
      </c>
      <c r="S68" s="69">
        <v>6.1200000000000005E-8</v>
      </c>
      <c r="T68" s="69">
        <v>6.6300000000000005E-8</v>
      </c>
      <c r="U68" s="59">
        <f t="shared" si="23"/>
        <v>2.6658670570239554E-6</v>
      </c>
      <c r="V68" s="59">
        <f t="shared" si="24"/>
        <v>0</v>
      </c>
      <c r="W68" s="59">
        <f t="shared" si="25"/>
        <v>8.0307958434994275E-2</v>
      </c>
      <c r="X68" s="59">
        <f t="shared" si="26"/>
        <v>3.8949836902558537E-12</v>
      </c>
      <c r="Y68" s="59">
        <f t="shared" si="26"/>
        <v>0</v>
      </c>
      <c r="Z68" s="59">
        <f t="shared" si="26"/>
        <v>1.1733450378851239E-7</v>
      </c>
      <c r="AA68" s="59"/>
    </row>
    <row r="69" spans="1:27" s="6" customFormat="1" ht="19" x14ac:dyDescent="0.25">
      <c r="A69" s="6" t="s">
        <v>21</v>
      </c>
      <c r="B69" s="9">
        <v>0</v>
      </c>
      <c r="C69" s="7">
        <v>2277926</v>
      </c>
      <c r="D69" s="7">
        <v>352569</v>
      </c>
      <c r="E69" s="6">
        <f t="shared" si="19"/>
        <v>2.242307726571122E-2</v>
      </c>
      <c r="F69" s="6">
        <f t="shared" si="20"/>
        <v>1.1547254629723032E-2</v>
      </c>
      <c r="G69" s="8">
        <f t="shared" si="21"/>
        <v>2.0704458496185991E-6</v>
      </c>
      <c r="H69" s="7">
        <v>0</v>
      </c>
      <c r="I69" s="3">
        <f t="shared" si="22"/>
        <v>6.1164892151895189E-2</v>
      </c>
      <c r="J69" s="64"/>
      <c r="K69" s="64"/>
      <c r="L69" s="64"/>
      <c r="N69" s="63">
        <v>12593639</v>
      </c>
      <c r="O69" s="66">
        <f t="shared" si="5"/>
        <v>1.6440409714925123E-4</v>
      </c>
      <c r="P69" s="66">
        <f t="shared" si="6"/>
        <v>0</v>
      </c>
      <c r="Q69" s="66">
        <f t="shared" si="7"/>
        <v>4.8568084373305593</v>
      </c>
      <c r="R69" s="69">
        <v>5.6099999999999999E-8</v>
      </c>
      <c r="S69" s="69">
        <v>6.1200000000000005E-8</v>
      </c>
      <c r="T69" s="69">
        <v>6.6300000000000005E-8</v>
      </c>
      <c r="U69" s="59">
        <f t="shared" si="23"/>
        <v>1.161520121636034E-4</v>
      </c>
      <c r="V69" s="59">
        <f t="shared" si="24"/>
        <v>0</v>
      </c>
      <c r="W69" s="59">
        <f t="shared" si="25"/>
        <v>4.0552323496706517</v>
      </c>
      <c r="X69" s="59">
        <f t="shared" si="26"/>
        <v>9.2230698500729936E-12</v>
      </c>
      <c r="Y69" s="59">
        <f t="shared" si="26"/>
        <v>0</v>
      </c>
      <c r="Z69" s="59">
        <f t="shared" si="26"/>
        <v>3.2200639939501611E-7</v>
      </c>
      <c r="AA69" s="59"/>
    </row>
    <row r="70" spans="1:27" s="6" customFormat="1" ht="19" x14ac:dyDescent="0.25">
      <c r="A70" s="6" t="s">
        <v>20</v>
      </c>
      <c r="B70" s="9">
        <v>0</v>
      </c>
      <c r="C70" s="7">
        <v>431207</v>
      </c>
      <c r="D70" s="7">
        <v>127144</v>
      </c>
      <c r="E70" s="6">
        <f t="shared" si="19"/>
        <v>4.2446452951129835E-3</v>
      </c>
      <c r="F70" s="6">
        <f t="shared" si="20"/>
        <v>4.1641895420229946E-3</v>
      </c>
      <c r="G70" s="8">
        <f t="shared" si="21"/>
        <v>7.4664751326380699E-7</v>
      </c>
      <c r="H70" s="7">
        <v>0</v>
      </c>
      <c r="I70" s="3">
        <f t="shared" si="22"/>
        <v>1.1578396159551394E-2</v>
      </c>
      <c r="J70" s="64"/>
      <c r="K70" s="64"/>
      <c r="L70" s="64"/>
      <c r="N70" s="63">
        <v>8231205</v>
      </c>
      <c r="O70" s="66">
        <f t="shared" ref="O70:O87" si="27">(G70/N70)*10^9</f>
        <v>9.0709381343777372E-5</v>
      </c>
      <c r="P70" s="66">
        <f t="shared" ref="P70:P87" si="28">(H70/N70)*10^9</f>
        <v>0</v>
      </c>
      <c r="Q70" s="66">
        <f t="shared" si="7"/>
        <v>1.4066465553404872</v>
      </c>
      <c r="R70" s="69">
        <v>5.6099999999999999E-8</v>
      </c>
      <c r="S70" s="69">
        <v>6.1200000000000005E-8</v>
      </c>
      <c r="T70" s="69">
        <v>6.6300000000000005E-8</v>
      </c>
      <c r="U70" s="59">
        <f t="shared" si="23"/>
        <v>4.1886925494099575E-5</v>
      </c>
      <c r="V70" s="59">
        <f t="shared" si="24"/>
        <v>0</v>
      </c>
      <c r="W70" s="59">
        <f t="shared" si="25"/>
        <v>0.76764766537825746</v>
      </c>
      <c r="X70" s="59">
        <f t="shared" si="26"/>
        <v>5.0887962933859108E-12</v>
      </c>
      <c r="Y70" s="59">
        <f t="shared" si="26"/>
        <v>0</v>
      </c>
      <c r="Z70" s="59">
        <f t="shared" si="26"/>
        <v>9.3260666619074315E-8</v>
      </c>
      <c r="AA70" s="59"/>
    </row>
    <row r="71" spans="1:27" s="6" customFormat="1" ht="19" x14ac:dyDescent="0.25">
      <c r="A71" s="6" t="s">
        <v>19</v>
      </c>
      <c r="B71" s="9">
        <v>0</v>
      </c>
      <c r="C71" s="7">
        <v>1365875</v>
      </c>
      <c r="D71" s="7">
        <v>25159</v>
      </c>
      <c r="E71" s="6">
        <f t="shared" si="19"/>
        <v>1.3445178052449163E-2</v>
      </c>
      <c r="F71" s="6">
        <f t="shared" si="20"/>
        <v>8.2400148404766663E-4</v>
      </c>
      <c r="G71" s="8">
        <f t="shared" si="21"/>
        <v>1.4774511409271471E-7</v>
      </c>
      <c r="H71" s="7">
        <v>0</v>
      </c>
      <c r="I71" s="3">
        <f t="shared" si="22"/>
        <v>3.6675290184127948E-2</v>
      </c>
      <c r="J71" s="64"/>
      <c r="K71" s="64"/>
      <c r="L71" s="64"/>
      <c r="N71" s="63">
        <v>7215432</v>
      </c>
      <c r="O71" s="66">
        <f t="shared" si="27"/>
        <v>2.0476267268919546E-5</v>
      </c>
      <c r="P71" s="66">
        <f t="shared" si="28"/>
        <v>0</v>
      </c>
      <c r="Q71" s="66">
        <f t="shared" ref="Q71:Q88" si="29">(I71/N71)*10^9</f>
        <v>5.0828959630037325</v>
      </c>
      <c r="R71" s="69">
        <v>5.6099999999999999E-8</v>
      </c>
      <c r="S71" s="69">
        <v>6.1200000000000005E-8</v>
      </c>
      <c r="T71" s="69">
        <v>6.6300000000000005E-8</v>
      </c>
      <c r="U71" s="59">
        <f t="shared" si="23"/>
        <v>8.2885009006012949E-6</v>
      </c>
      <c r="V71" s="59">
        <f t="shared" si="24"/>
        <v>0</v>
      </c>
      <c r="W71" s="59">
        <f t="shared" si="25"/>
        <v>2.431571739207683</v>
      </c>
      <c r="X71" s="59">
        <f t="shared" si="26"/>
        <v>1.1487185937863864E-12</v>
      </c>
      <c r="Y71" s="59">
        <f t="shared" si="26"/>
        <v>0</v>
      </c>
      <c r="Z71" s="59">
        <f t="shared" si="26"/>
        <v>3.3699600234714747E-7</v>
      </c>
      <c r="AA71" s="59"/>
    </row>
    <row r="72" spans="1:27" s="6" customFormat="1" ht="19" x14ac:dyDescent="0.25">
      <c r="A72" s="6" t="s">
        <v>18</v>
      </c>
      <c r="B72" s="9">
        <v>0</v>
      </c>
      <c r="C72" s="7">
        <v>1335231</v>
      </c>
      <c r="D72" s="7">
        <v>243889</v>
      </c>
      <c r="E72" s="6">
        <f t="shared" si="19"/>
        <v>1.3143529632030566E-2</v>
      </c>
      <c r="F72" s="6">
        <f t="shared" si="20"/>
        <v>7.9877935507333912E-3</v>
      </c>
      <c r="G72" s="8">
        <f t="shared" si="21"/>
        <v>1.4322273592335984E-6</v>
      </c>
      <c r="H72" s="7">
        <v>0</v>
      </c>
      <c r="I72" s="3">
        <f t="shared" si="22"/>
        <v>3.5852464089205338E-2</v>
      </c>
      <c r="J72" s="64"/>
      <c r="K72" s="64"/>
      <c r="L72" s="64"/>
      <c r="N72" s="63">
        <v>7013107</v>
      </c>
      <c r="O72" s="66">
        <f t="shared" si="27"/>
        <v>2.042215182562591E-4</v>
      </c>
      <c r="P72" s="66">
        <f t="shared" si="28"/>
        <v>0</v>
      </c>
      <c r="Q72" s="66">
        <f t="shared" si="29"/>
        <v>5.1122083392147504</v>
      </c>
      <c r="R72" s="69">
        <v>5.6099999999999999E-8</v>
      </c>
      <c r="S72" s="69">
        <v>6.1200000000000005E-8</v>
      </c>
      <c r="T72" s="69">
        <v>6.6300000000000005E-8</v>
      </c>
      <c r="U72" s="59">
        <f t="shared" si="23"/>
        <v>8.0347954853004873E-5</v>
      </c>
      <c r="V72" s="59">
        <f t="shared" si="24"/>
        <v>0</v>
      </c>
      <c r="W72" s="59">
        <f t="shared" si="25"/>
        <v>2.3770183691143143</v>
      </c>
      <c r="X72" s="59">
        <f t="shared" si="26"/>
        <v>1.1456827174176136E-11</v>
      </c>
      <c r="Y72" s="59">
        <f t="shared" si="26"/>
        <v>0</v>
      </c>
      <c r="Z72" s="59">
        <f t="shared" si="26"/>
        <v>3.38939412889938E-7</v>
      </c>
      <c r="AA72" s="59"/>
    </row>
    <row r="73" spans="1:27" s="6" customFormat="1" ht="19" x14ac:dyDescent="0.25">
      <c r="A73" s="6" t="s">
        <v>17</v>
      </c>
      <c r="B73" s="9">
        <v>0</v>
      </c>
      <c r="C73" s="7">
        <v>1751335</v>
      </c>
      <c r="D73" s="7">
        <v>44806</v>
      </c>
      <c r="E73" s="6">
        <f t="shared" si="19"/>
        <v>1.7239506473495786E-2</v>
      </c>
      <c r="F73" s="6">
        <f t="shared" si="20"/>
        <v>1.4674752770078203E-3</v>
      </c>
      <c r="G73" s="8">
        <f t="shared" si="21"/>
        <v>2.631212521180562E-7</v>
      </c>
      <c r="H73" s="7">
        <v>0</v>
      </c>
      <c r="I73" s="3">
        <f t="shared" si="22"/>
        <v>4.70253275992457E-2</v>
      </c>
      <c r="J73" s="64"/>
      <c r="K73" s="64"/>
      <c r="L73" s="64"/>
      <c r="N73" s="63">
        <v>22168982</v>
      </c>
      <c r="O73" s="66">
        <f t="shared" si="27"/>
        <v>1.1868891955348071E-5</v>
      </c>
      <c r="P73" s="66">
        <f t="shared" si="28"/>
        <v>0</v>
      </c>
      <c r="Q73" s="66">
        <f t="shared" si="29"/>
        <v>2.1212217863339733</v>
      </c>
      <c r="R73" s="69">
        <v>5.6099999999999999E-8</v>
      </c>
      <c r="S73" s="69">
        <v>6.1200000000000005E-8</v>
      </c>
      <c r="T73" s="69">
        <v>6.6300000000000005E-8</v>
      </c>
      <c r="U73" s="59">
        <f t="shared" si="23"/>
        <v>1.4761102243822951E-5</v>
      </c>
      <c r="V73" s="59">
        <f t="shared" si="24"/>
        <v>0</v>
      </c>
      <c r="W73" s="59">
        <f t="shared" si="25"/>
        <v>3.1177792198299903</v>
      </c>
      <c r="X73" s="59">
        <f t="shared" si="26"/>
        <v>6.6584483869502676E-13</v>
      </c>
      <c r="Y73" s="59">
        <f t="shared" si="26"/>
        <v>0</v>
      </c>
      <c r="Z73" s="59">
        <f t="shared" si="26"/>
        <v>1.4063700443394245E-7</v>
      </c>
      <c r="AA73" s="59"/>
    </row>
    <row r="74" spans="1:27" s="6" customFormat="1" ht="19" x14ac:dyDescent="0.25">
      <c r="A74" s="6" t="s">
        <v>16</v>
      </c>
      <c r="B74" s="9">
        <v>0</v>
      </c>
      <c r="C74" s="7">
        <v>146272</v>
      </c>
      <c r="D74" s="7">
        <v>12351</v>
      </c>
      <c r="E74" s="6">
        <f t="shared" si="19"/>
        <v>1.4398485103599115E-3</v>
      </c>
      <c r="F74" s="6">
        <f t="shared" si="20"/>
        <v>4.0451696527973017E-4</v>
      </c>
      <c r="G74" s="8">
        <f t="shared" si="21"/>
        <v>7.2530700908586183E-8</v>
      </c>
      <c r="H74" s="7">
        <v>0</v>
      </c>
      <c r="I74" s="3">
        <f t="shared" si="22"/>
        <v>3.9275688081360036E-3</v>
      </c>
      <c r="J74" s="64"/>
      <c r="K74" s="64"/>
      <c r="L74" s="64"/>
      <c r="N74" s="63">
        <v>4883314</v>
      </c>
      <c r="O74" s="66">
        <f t="shared" si="27"/>
        <v>1.4852762060474953E-5</v>
      </c>
      <c r="P74" s="66">
        <f t="shared" si="28"/>
        <v>0</v>
      </c>
      <c r="Q74" s="66">
        <f t="shared" si="29"/>
        <v>0.80428348620137957</v>
      </c>
      <c r="R74" s="69">
        <v>5.6099999999999999E-8</v>
      </c>
      <c r="S74" s="69">
        <v>6.1200000000000005E-8</v>
      </c>
      <c r="T74" s="69">
        <v>6.6300000000000005E-8</v>
      </c>
      <c r="U74" s="59">
        <f t="shared" si="23"/>
        <v>4.0689723209716847E-6</v>
      </c>
      <c r="V74" s="59">
        <f t="shared" si="24"/>
        <v>0</v>
      </c>
      <c r="W74" s="59">
        <f t="shared" si="25"/>
        <v>0.26039781197941708</v>
      </c>
      <c r="X74" s="59">
        <f t="shared" si="26"/>
        <v>8.3323995159264485E-13</v>
      </c>
      <c r="Y74" s="59">
        <f t="shared" si="26"/>
        <v>0</v>
      </c>
      <c r="Z74" s="59">
        <f t="shared" si="26"/>
        <v>5.3323995135151469E-8</v>
      </c>
      <c r="AA74" s="59"/>
    </row>
    <row r="75" spans="1:27" s="6" customFormat="1" ht="19" x14ac:dyDescent="0.25">
      <c r="A75" s="6" t="s">
        <v>15</v>
      </c>
      <c r="B75" s="9">
        <v>0</v>
      </c>
      <c r="C75" s="7">
        <v>3860058</v>
      </c>
      <c r="D75" s="7">
        <v>10959055</v>
      </c>
      <c r="E75" s="6">
        <f t="shared" si="19"/>
        <v>3.7997010782671044E-2</v>
      </c>
      <c r="F75" s="6">
        <f t="shared" si="20"/>
        <v>0.35892831924003343</v>
      </c>
      <c r="G75" s="8">
        <f t="shared" si="21"/>
        <v>6.435656549637647E-5</v>
      </c>
      <c r="H75" s="7">
        <v>0</v>
      </c>
      <c r="I75" s="3">
        <f t="shared" si="22"/>
        <v>0.10364692763068696</v>
      </c>
      <c r="J75" s="64"/>
      <c r="K75" s="64"/>
      <c r="L75" s="64"/>
      <c r="N75" s="63">
        <v>425523771</v>
      </c>
      <c r="O75" s="66">
        <f t="shared" si="27"/>
        <v>1.5124082338604879E-4</v>
      </c>
      <c r="P75" s="66">
        <f t="shared" si="28"/>
        <v>0</v>
      </c>
      <c r="Q75" s="66">
        <f t="shared" si="29"/>
        <v>0.2435749415058811</v>
      </c>
      <c r="R75" s="69">
        <v>5.6099999999999999E-8</v>
      </c>
      <c r="S75" s="69">
        <v>6.1200000000000005E-8</v>
      </c>
      <c r="T75" s="69">
        <v>6.6300000000000005E-8</v>
      </c>
      <c r="U75" s="59">
        <f t="shared" si="23"/>
        <v>3.6104033243467199E-3</v>
      </c>
      <c r="V75" s="59">
        <f t="shared" si="24"/>
        <v>0</v>
      </c>
      <c r="W75" s="59">
        <f t="shared" si="25"/>
        <v>6.8717913019145458</v>
      </c>
      <c r="X75" s="59">
        <f t="shared" si="26"/>
        <v>8.4846101919573373E-12</v>
      </c>
      <c r="Y75" s="59">
        <f t="shared" si="26"/>
        <v>0</v>
      </c>
      <c r="Z75" s="59">
        <f t="shared" si="26"/>
        <v>1.6149018621839918E-8</v>
      </c>
      <c r="AA75" s="59"/>
    </row>
    <row r="76" spans="1:27" s="6" customFormat="1" ht="19" x14ac:dyDescent="0.25">
      <c r="A76" s="6" t="s">
        <v>14</v>
      </c>
      <c r="B76" s="9">
        <v>0</v>
      </c>
      <c r="C76" s="7">
        <v>776617</v>
      </c>
      <c r="D76" s="7">
        <v>3429627</v>
      </c>
      <c r="E76" s="6">
        <f t="shared" si="19"/>
        <v>7.6447360436049504E-3</v>
      </c>
      <c r="F76" s="6">
        <f t="shared" si="20"/>
        <v>0.11232631415119626</v>
      </c>
      <c r="G76" s="8">
        <f t="shared" si="21"/>
        <v>2.0140332779937792E-5</v>
      </c>
      <c r="H76" s="7">
        <v>0</v>
      </c>
      <c r="I76" s="3">
        <f t="shared" si="22"/>
        <v>2.0853045730339081E-2</v>
      </c>
      <c r="J76" s="64"/>
      <c r="K76" s="64"/>
      <c r="L76" s="64"/>
      <c r="N76" s="63">
        <v>212476386</v>
      </c>
      <c r="O76" s="66">
        <f t="shared" si="27"/>
        <v>9.4788569963430159E-5</v>
      </c>
      <c r="P76" s="66">
        <f t="shared" si="28"/>
        <v>0</v>
      </c>
      <c r="Q76" s="66">
        <f t="shared" si="29"/>
        <v>9.8142886006819988E-2</v>
      </c>
      <c r="R76" s="69">
        <v>5.6099999999999999E-8</v>
      </c>
      <c r="S76" s="69">
        <v>6.1200000000000005E-8</v>
      </c>
      <c r="T76" s="69">
        <v>6.6300000000000005E-8</v>
      </c>
      <c r="U76" s="59">
        <f t="shared" si="23"/>
        <v>1.1298726689545101E-3</v>
      </c>
      <c r="V76" s="59">
        <f t="shared" si="24"/>
        <v>0</v>
      </c>
      <c r="W76" s="59">
        <f t="shared" si="25"/>
        <v>1.3825569319214812</v>
      </c>
      <c r="X76" s="59">
        <f t="shared" si="26"/>
        <v>5.3176387749484317E-12</v>
      </c>
      <c r="Y76" s="59">
        <f t="shared" si="26"/>
        <v>0</v>
      </c>
      <c r="Z76" s="59">
        <f t="shared" si="26"/>
        <v>6.5068733422521658E-9</v>
      </c>
      <c r="AA76" s="59"/>
    </row>
    <row r="77" spans="1:27" s="6" customFormat="1" ht="19" x14ac:dyDescent="0.25">
      <c r="A77" s="6" t="s">
        <v>13</v>
      </c>
      <c r="B77" s="9">
        <v>0</v>
      </c>
      <c r="C77" s="7">
        <v>1283636</v>
      </c>
      <c r="D77" s="7">
        <v>1939270</v>
      </c>
      <c r="E77" s="6">
        <f t="shared" si="19"/>
        <v>1.2635647167225136E-2</v>
      </c>
      <c r="F77" s="6">
        <f t="shared" si="20"/>
        <v>6.3514502085500954E-2</v>
      </c>
      <c r="G77" s="8">
        <f t="shared" si="21"/>
        <v>1.1388277252934492E-5</v>
      </c>
      <c r="H77" s="7">
        <v>0</v>
      </c>
      <c r="I77" s="3">
        <f t="shared" si="22"/>
        <v>3.446707992370697E-2</v>
      </c>
      <c r="J77" s="64"/>
      <c r="K77" s="64"/>
      <c r="L77" s="64"/>
      <c r="N77" s="63">
        <v>168152921</v>
      </c>
      <c r="O77" s="66">
        <f t="shared" si="27"/>
        <v>6.7725717669421225E-5</v>
      </c>
      <c r="P77" s="66">
        <f t="shared" si="28"/>
        <v>0</v>
      </c>
      <c r="Q77" s="66">
        <f t="shared" si="29"/>
        <v>0.20497461310057746</v>
      </c>
      <c r="R77" s="69">
        <v>5.6099999999999999E-8</v>
      </c>
      <c r="S77" s="69">
        <v>6.1200000000000005E-8</v>
      </c>
      <c r="T77" s="69">
        <v>6.6300000000000005E-8</v>
      </c>
      <c r="U77" s="59">
        <f t="shared" si="23"/>
        <v>6.3888235388962497E-4</v>
      </c>
      <c r="V77" s="59">
        <f t="shared" si="24"/>
        <v>0</v>
      </c>
      <c r="W77" s="59">
        <f t="shared" si="25"/>
        <v>2.2851673989417725</v>
      </c>
      <c r="X77" s="59">
        <f t="shared" si="26"/>
        <v>3.7994127612545308E-12</v>
      </c>
      <c r="Y77" s="59">
        <f t="shared" si="26"/>
        <v>0</v>
      </c>
      <c r="Z77" s="59">
        <f t="shared" si="26"/>
        <v>1.3589816848568286E-8</v>
      </c>
      <c r="AA77" s="59"/>
    </row>
    <row r="78" spans="1:27" s="6" customFormat="1" ht="19" x14ac:dyDescent="0.25">
      <c r="A78" s="6" t="s">
        <v>12</v>
      </c>
      <c r="B78" s="9">
        <v>0</v>
      </c>
      <c r="C78" s="7">
        <v>22198</v>
      </c>
      <c r="D78" s="7">
        <v>7238</v>
      </c>
      <c r="E78" s="6">
        <f t="shared" si="19"/>
        <v>2.1850906005913172E-4</v>
      </c>
      <c r="F78" s="6">
        <f t="shared" si="20"/>
        <v>2.3705722570599035E-4</v>
      </c>
      <c r="G78" s="8">
        <f t="shared" si="21"/>
        <v>4.250483468353548E-8</v>
      </c>
      <c r="H78" s="7">
        <v>0</v>
      </c>
      <c r="I78" s="3">
        <f t="shared" si="22"/>
        <v>5.9604143242044272E-4</v>
      </c>
      <c r="J78" s="64"/>
      <c r="K78" s="64"/>
      <c r="L78" s="64"/>
      <c r="N78" s="63">
        <v>919883</v>
      </c>
      <c r="O78" s="66">
        <f t="shared" si="27"/>
        <v>4.6206783562187239E-5</v>
      </c>
      <c r="P78" s="66">
        <f t="shared" si="28"/>
        <v>0</v>
      </c>
      <c r="Q78" s="66">
        <f t="shared" si="29"/>
        <v>0.64795352498137559</v>
      </c>
      <c r="R78" s="69">
        <v>5.6099999999999999E-8</v>
      </c>
      <c r="S78" s="69">
        <v>6.1200000000000005E-8</v>
      </c>
      <c r="T78" s="69">
        <v>6.6300000000000005E-8</v>
      </c>
      <c r="U78" s="59">
        <f t="shared" si="23"/>
        <v>2.3845212257463402E-6</v>
      </c>
      <c r="V78" s="59">
        <f t="shared" si="24"/>
        <v>0</v>
      </c>
      <c r="W78" s="59">
        <f t="shared" si="25"/>
        <v>3.9517546969475355E-2</v>
      </c>
      <c r="X78" s="59">
        <f t="shared" si="26"/>
        <v>2.5922005578387041E-12</v>
      </c>
      <c r="Y78" s="59">
        <f t="shared" si="26"/>
        <v>0</v>
      </c>
      <c r="Z78" s="59">
        <f t="shared" si="26"/>
        <v>4.2959318706265207E-8</v>
      </c>
      <c r="AA78" s="59"/>
    </row>
    <row r="79" spans="1:27" s="6" customFormat="1" ht="19" x14ac:dyDescent="0.25">
      <c r="A79" s="6" t="s">
        <v>11</v>
      </c>
      <c r="B79" s="9">
        <v>0</v>
      </c>
      <c r="C79" s="7">
        <v>120162</v>
      </c>
      <c r="D79" s="7">
        <v>31121</v>
      </c>
      <c r="E79" s="6">
        <f t="shared" si="19"/>
        <v>1.1828311413111716E-3</v>
      </c>
      <c r="F79" s="6">
        <f t="shared" si="20"/>
        <v>1.0192674663161267E-3</v>
      </c>
      <c r="G79" s="8">
        <f t="shared" si="21"/>
        <v>1.8275669524541414E-7</v>
      </c>
      <c r="H79" s="7">
        <v>0</v>
      </c>
      <c r="I79" s="3">
        <f t="shared" si="22"/>
        <v>3.2264857465765045E-3</v>
      </c>
      <c r="J79" s="64"/>
      <c r="K79" s="64"/>
      <c r="L79" s="64"/>
      <c r="N79" s="63">
        <v>5367537</v>
      </c>
      <c r="O79" s="66">
        <f t="shared" si="27"/>
        <v>3.4048520810460015E-5</v>
      </c>
      <c r="P79" s="66">
        <f t="shared" si="28"/>
        <v>0</v>
      </c>
      <c r="Q79" s="66">
        <f t="shared" si="29"/>
        <v>0.60111103967732393</v>
      </c>
      <c r="R79" s="69">
        <v>5.6099999999999999E-8</v>
      </c>
      <c r="S79" s="69">
        <v>6.1200000000000005E-8</v>
      </c>
      <c r="T79" s="69">
        <v>6.6300000000000005E-8</v>
      </c>
      <c r="U79" s="59">
        <f t="shared" si="23"/>
        <v>1.0252650603267733E-5</v>
      </c>
      <c r="V79" s="59">
        <f t="shared" si="24"/>
        <v>0</v>
      </c>
      <c r="W79" s="59">
        <f t="shared" si="25"/>
        <v>0.21391600499802227</v>
      </c>
      <c r="X79" s="59">
        <f t="shared" si="26"/>
        <v>1.9101220174668067E-12</v>
      </c>
      <c r="Y79" s="59">
        <f t="shared" si="26"/>
        <v>0</v>
      </c>
      <c r="Z79" s="59">
        <f t="shared" si="26"/>
        <v>3.985366193060658E-8</v>
      </c>
      <c r="AA79" s="59"/>
    </row>
    <row r="80" spans="1:27" s="6" customFormat="1" ht="19" x14ac:dyDescent="0.25">
      <c r="A80" s="6" t="s">
        <v>10</v>
      </c>
      <c r="B80" s="9">
        <v>0</v>
      </c>
      <c r="C80" s="7">
        <v>86712</v>
      </c>
      <c r="D80" s="7">
        <v>57921</v>
      </c>
      <c r="E80" s="6">
        <f t="shared" si="19"/>
        <v>8.5356147472057976E-4</v>
      </c>
      <c r="F80" s="6">
        <f t="shared" si="20"/>
        <v>1.8970145855369807E-3</v>
      </c>
      <c r="G80" s="8">
        <f t="shared" si="21"/>
        <v>3.401385092159517E-7</v>
      </c>
      <c r="H80" s="7">
        <v>0</v>
      </c>
      <c r="I80" s="3">
        <f t="shared" si="22"/>
        <v>2.3283153747203095E-3</v>
      </c>
      <c r="J80" s="64"/>
      <c r="K80" s="64"/>
      <c r="L80" s="64"/>
      <c r="N80" s="63">
        <v>2933055</v>
      </c>
      <c r="O80" s="66">
        <f t="shared" si="27"/>
        <v>1.1596731367667899E-4</v>
      </c>
      <c r="P80" s="66">
        <f t="shared" si="28"/>
        <v>0</v>
      </c>
      <c r="Q80" s="66">
        <f t="shared" si="29"/>
        <v>0.79381920036286724</v>
      </c>
      <c r="R80" s="69">
        <v>5.6099999999999999E-8</v>
      </c>
      <c r="S80" s="69">
        <v>6.1200000000000005E-8</v>
      </c>
      <c r="T80" s="69">
        <v>6.6300000000000005E-8</v>
      </c>
      <c r="U80" s="59">
        <f t="shared" si="23"/>
        <v>1.9081770367014892E-5</v>
      </c>
      <c r="V80" s="59">
        <f t="shared" si="24"/>
        <v>0</v>
      </c>
      <c r="W80" s="59">
        <f t="shared" si="25"/>
        <v>0.15436730934395654</v>
      </c>
      <c r="X80" s="59">
        <f t="shared" si="26"/>
        <v>6.5057662972616912E-12</v>
      </c>
      <c r="Y80" s="59">
        <f t="shared" si="26"/>
        <v>0</v>
      </c>
      <c r="Z80" s="59">
        <f t="shared" si="26"/>
        <v>5.2630212984058099E-8</v>
      </c>
      <c r="AA80" s="59"/>
    </row>
    <row r="81" spans="1:99" s="6" customFormat="1" ht="19" x14ac:dyDescent="0.25">
      <c r="A81" s="6" t="s">
        <v>9</v>
      </c>
      <c r="B81" s="9">
        <v>0</v>
      </c>
      <c r="C81" s="7">
        <v>7679</v>
      </c>
      <c r="D81" s="7">
        <v>17955</v>
      </c>
      <c r="E81" s="6">
        <f t="shared" si="19"/>
        <v>7.5589290575460514E-5</v>
      </c>
      <c r="F81" s="6">
        <f t="shared" si="20"/>
        <v>5.880578181197923E-4</v>
      </c>
      <c r="G81" s="8">
        <f t="shared" si="21"/>
        <v>1.05439942904515E-7</v>
      </c>
      <c r="H81" s="7">
        <v>0</v>
      </c>
      <c r="I81" s="3">
        <f t="shared" si="22"/>
        <v>2.0618984411012613E-4</v>
      </c>
      <c r="J81" s="64"/>
      <c r="K81" s="64"/>
      <c r="L81" s="64"/>
      <c r="N81" s="63">
        <v>5480215</v>
      </c>
      <c r="O81" s="66">
        <f t="shared" si="27"/>
        <v>1.9240110635169424E-5</v>
      </c>
      <c r="P81" s="66">
        <f t="shared" si="28"/>
        <v>0</v>
      </c>
      <c r="Q81" s="66">
        <f t="shared" si="29"/>
        <v>3.7624407821613956E-2</v>
      </c>
      <c r="R81" s="69">
        <v>5.6099999999999999E-8</v>
      </c>
      <c r="S81" s="69">
        <v>6.1200000000000005E-8</v>
      </c>
      <c r="T81" s="69">
        <v>6.6300000000000005E-8</v>
      </c>
      <c r="U81" s="59">
        <f t="shared" si="23"/>
        <v>5.9151807969432905E-6</v>
      </c>
      <c r="V81" s="59">
        <f t="shared" si="24"/>
        <v>0</v>
      </c>
      <c r="W81" s="59">
        <f t="shared" si="25"/>
        <v>1.3670386664501363E-2</v>
      </c>
      <c r="X81" s="59">
        <f t="shared" si="26"/>
        <v>1.0793702066330046E-12</v>
      </c>
      <c r="Y81" s="59">
        <f t="shared" si="26"/>
        <v>0</v>
      </c>
      <c r="Z81" s="59">
        <f t="shared" si="26"/>
        <v>2.4944982385730055E-9</v>
      </c>
      <c r="AA81" s="59"/>
    </row>
    <row r="82" spans="1:99" s="6" customFormat="1" ht="19" x14ac:dyDescent="0.25">
      <c r="A82" s="6" t="s">
        <v>8</v>
      </c>
      <c r="B82" s="9">
        <v>0</v>
      </c>
      <c r="C82" s="7">
        <v>34879</v>
      </c>
      <c r="D82" s="7">
        <v>189894</v>
      </c>
      <c r="E82" s="6">
        <f t="shared" si="19"/>
        <v>3.4333622424553812E-4</v>
      </c>
      <c r="F82" s="6">
        <f t="shared" si="20"/>
        <v>6.2193623678106292E-3</v>
      </c>
      <c r="G82" s="8">
        <f t="shared" si="21"/>
        <v>1.1151441112731814E-6</v>
      </c>
      <c r="H82" s="7">
        <v>0</v>
      </c>
      <c r="I82" s="3">
        <f t="shared" si="22"/>
        <v>9.3654063976000639E-4</v>
      </c>
      <c r="J82" s="64"/>
      <c r="K82" s="64"/>
      <c r="L82" s="64"/>
      <c r="N82" s="63">
        <v>11598620</v>
      </c>
      <c r="O82" s="66">
        <f t="shared" si="27"/>
        <v>9.6144550927022474E-5</v>
      </c>
      <c r="P82" s="66">
        <f t="shared" si="28"/>
        <v>0</v>
      </c>
      <c r="Q82" s="66">
        <f t="shared" si="29"/>
        <v>8.0745868022230785E-2</v>
      </c>
      <c r="R82" s="69">
        <v>5.6099999999999999E-8</v>
      </c>
      <c r="S82" s="69">
        <v>6.1200000000000005E-8</v>
      </c>
      <c r="T82" s="69">
        <v>6.6300000000000005E-8</v>
      </c>
      <c r="U82" s="59">
        <f t="shared" si="23"/>
        <v>6.2559584642425477E-5</v>
      </c>
      <c r="V82" s="59">
        <f t="shared" si="24"/>
        <v>0</v>
      </c>
      <c r="W82" s="59">
        <f t="shared" si="25"/>
        <v>6.2092644416088437E-2</v>
      </c>
      <c r="X82" s="59">
        <f t="shared" si="26"/>
        <v>5.3937093070059605E-12</v>
      </c>
      <c r="Y82" s="59">
        <f t="shared" si="26"/>
        <v>0</v>
      </c>
      <c r="Z82" s="59">
        <f t="shared" si="26"/>
        <v>5.3534510498739012E-9</v>
      </c>
      <c r="AA82" s="59"/>
    </row>
    <row r="83" spans="1:99" s="6" customFormat="1" ht="19" x14ac:dyDescent="0.25">
      <c r="A83" s="6" t="s">
        <v>7</v>
      </c>
      <c r="B83" s="9">
        <v>0</v>
      </c>
      <c r="C83" s="7">
        <v>45989</v>
      </c>
      <c r="D83" s="7">
        <v>1355891</v>
      </c>
      <c r="E83" s="6">
        <f t="shared" si="19"/>
        <v>4.5269903428504408E-4</v>
      </c>
      <c r="F83" s="6">
        <f t="shared" si="20"/>
        <v>4.4407814150279216E-2</v>
      </c>
      <c r="G83" s="8">
        <f t="shared" si="21"/>
        <v>7.9624098927733632E-6</v>
      </c>
      <c r="H83" s="7">
        <v>0</v>
      </c>
      <c r="I83" s="3">
        <f t="shared" si="22"/>
        <v>1.2348567184243509E-3</v>
      </c>
      <c r="J83" s="64"/>
      <c r="K83" s="64"/>
      <c r="L83" s="64"/>
      <c r="N83" s="63">
        <v>13934128</v>
      </c>
      <c r="O83" s="66">
        <f t="shared" si="27"/>
        <v>5.7143223406397325E-4</v>
      </c>
      <c r="P83" s="66">
        <f t="shared" si="28"/>
        <v>0</v>
      </c>
      <c r="Q83" s="66">
        <f t="shared" si="29"/>
        <v>8.862102590304545E-2</v>
      </c>
      <c r="R83" s="69">
        <v>5.6099999999999999E-8</v>
      </c>
      <c r="S83" s="69">
        <v>6.1200000000000005E-8</v>
      </c>
      <c r="T83" s="69">
        <v>6.6300000000000005E-8</v>
      </c>
      <c r="U83" s="59">
        <f t="shared" si="23"/>
        <v>4.4669119498458564E-4</v>
      </c>
      <c r="V83" s="59">
        <f t="shared" si="24"/>
        <v>0</v>
      </c>
      <c r="W83" s="59">
        <f t="shared" si="25"/>
        <v>8.1871000431534474E-2</v>
      </c>
      <c r="X83" s="59">
        <f t="shared" si="26"/>
        <v>3.2057348330988901E-11</v>
      </c>
      <c r="Y83" s="59">
        <f t="shared" si="26"/>
        <v>0</v>
      </c>
      <c r="Z83" s="59">
        <f t="shared" si="26"/>
        <v>5.8755740173719135E-9</v>
      </c>
      <c r="AA83" s="59"/>
    </row>
    <row r="84" spans="1:99" s="6" customFormat="1" ht="19" x14ac:dyDescent="0.25">
      <c r="A84" s="6" t="s">
        <v>6</v>
      </c>
      <c r="B84" s="9">
        <v>0</v>
      </c>
      <c r="C84" s="7">
        <v>116825</v>
      </c>
      <c r="D84" s="7">
        <v>87572</v>
      </c>
      <c r="E84" s="6">
        <f t="shared" si="19"/>
        <v>1.1499829237502507E-3</v>
      </c>
      <c r="F84" s="6">
        <f t="shared" si="20"/>
        <v>2.8681369673286801E-3</v>
      </c>
      <c r="G84" s="8">
        <f t="shared" si="21"/>
        <v>5.1426269451596703E-7</v>
      </c>
      <c r="H84" s="7">
        <v>0</v>
      </c>
      <c r="I84" s="3">
        <f t="shared" si="22"/>
        <v>3.1368835184484288E-3</v>
      </c>
      <c r="J84" s="64"/>
      <c r="K84" s="64"/>
      <c r="L84" s="64"/>
      <c r="N84" s="63">
        <v>5802961</v>
      </c>
      <c r="O84" s="66">
        <f t="shared" si="27"/>
        <v>8.8620739397691459E-5</v>
      </c>
      <c r="P84" s="66">
        <f t="shared" si="28"/>
        <v>0</v>
      </c>
      <c r="Q84" s="66">
        <f t="shared" si="29"/>
        <v>0.54056601766726142</v>
      </c>
      <c r="R84" s="69">
        <v>5.6099999999999999E-8</v>
      </c>
      <c r="S84" s="69">
        <v>6.1200000000000005E-8</v>
      </c>
      <c r="T84" s="69">
        <v>6.6300000000000005E-8</v>
      </c>
      <c r="U84" s="59">
        <f t="shared" si="23"/>
        <v>2.8850137162345748E-5</v>
      </c>
      <c r="V84" s="59">
        <f t="shared" si="24"/>
        <v>0</v>
      </c>
      <c r="W84" s="59">
        <f t="shared" si="25"/>
        <v>0.20797537727313084</v>
      </c>
      <c r="X84" s="59">
        <f t="shared" si="26"/>
        <v>4.9716234802104908E-12</v>
      </c>
      <c r="Y84" s="59">
        <f t="shared" si="26"/>
        <v>0</v>
      </c>
      <c r="Z84" s="59">
        <f t="shared" si="26"/>
        <v>3.5839526971339436E-8</v>
      </c>
      <c r="AA84" s="59"/>
    </row>
    <row r="85" spans="1:99" s="6" customFormat="1" ht="19" x14ac:dyDescent="0.25">
      <c r="A85" s="6" t="s">
        <v>5</v>
      </c>
      <c r="B85" s="9">
        <v>0</v>
      </c>
      <c r="C85" s="7">
        <v>1189285</v>
      </c>
      <c r="D85" s="7">
        <v>377213</v>
      </c>
      <c r="E85" s="6">
        <f t="shared" si="19"/>
        <v>1.1706890147419787E-2</v>
      </c>
      <c r="F85" s="6">
        <f t="shared" si="20"/>
        <v>1.2354388958308061E-2</v>
      </c>
      <c r="G85" s="8">
        <f t="shared" si="21"/>
        <v>2.2151666490025517E-6</v>
      </c>
      <c r="H85" s="7">
        <v>0</v>
      </c>
      <c r="I85" s="3">
        <f t="shared" si="22"/>
        <v>3.1933648750164259E-2</v>
      </c>
      <c r="J85" s="64"/>
      <c r="K85" s="64"/>
      <c r="L85" s="64"/>
      <c r="N85" s="63">
        <v>19488914</v>
      </c>
      <c r="O85" s="66">
        <f t="shared" si="27"/>
        <v>1.1366290851314504E-4</v>
      </c>
      <c r="P85" s="66">
        <f t="shared" si="28"/>
        <v>0</v>
      </c>
      <c r="Q85" s="66">
        <f t="shared" si="29"/>
        <v>1.6385545520989142</v>
      </c>
      <c r="R85" s="69">
        <v>5.6099999999999999E-8</v>
      </c>
      <c r="S85" s="69">
        <v>6.1200000000000005E-8</v>
      </c>
      <c r="T85" s="69">
        <v>6.6300000000000005E-8</v>
      </c>
      <c r="U85" s="59">
        <f t="shared" si="23"/>
        <v>1.2427084900904314E-4</v>
      </c>
      <c r="V85" s="59">
        <f t="shared" si="24"/>
        <v>0</v>
      </c>
      <c r="W85" s="59">
        <f t="shared" si="25"/>
        <v>2.1172009121358908</v>
      </c>
      <c r="X85" s="59">
        <f t="shared" si="26"/>
        <v>6.3764891675874366E-12</v>
      </c>
      <c r="Y85" s="59">
        <f t="shared" si="26"/>
        <v>0</v>
      </c>
      <c r="Z85" s="59">
        <f t="shared" si="26"/>
        <v>1.0863616680415802E-7</v>
      </c>
      <c r="AA85" s="59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s="1" customFormat="1" ht="18" x14ac:dyDescent="0.2">
      <c r="A86" s="1" t="s">
        <v>4</v>
      </c>
      <c r="E86" s="1">
        <f t="shared" si="19"/>
        <v>0</v>
      </c>
      <c r="F86" s="1">
        <f t="shared" si="20"/>
        <v>0</v>
      </c>
      <c r="G86" s="4">
        <f t="shared" si="21"/>
        <v>0</v>
      </c>
      <c r="H86" s="5">
        <v>8.5009999999999999E-3</v>
      </c>
      <c r="I86" s="3">
        <v>0</v>
      </c>
      <c r="J86" s="71" t="s">
        <v>0</v>
      </c>
      <c r="K86" s="64" t="s">
        <v>3</v>
      </c>
      <c r="L86" s="71" t="s">
        <v>0</v>
      </c>
      <c r="N86" s="68">
        <v>3709378</v>
      </c>
      <c r="O86" s="66">
        <f>(G86/N86)*10^9</f>
        <v>0</v>
      </c>
      <c r="P86" s="66">
        <f t="shared" si="28"/>
        <v>2.2917588878782373</v>
      </c>
      <c r="Q86" s="66">
        <f t="shared" si="29"/>
        <v>0</v>
      </c>
      <c r="R86" s="69">
        <v>5.6099999999999999E-8</v>
      </c>
      <c r="S86" s="69">
        <v>6.1200000000000005E-8</v>
      </c>
      <c r="T86" s="69">
        <v>6.6300000000000005E-8</v>
      </c>
      <c r="U86" s="59">
        <f t="shared" si="23"/>
        <v>0</v>
      </c>
      <c r="V86" s="59">
        <f t="shared" si="24"/>
        <v>0.52026119999999998</v>
      </c>
      <c r="W86" s="59">
        <f t="shared" si="25"/>
        <v>0</v>
      </c>
      <c r="X86" s="59">
        <f t="shared" si="26"/>
        <v>0</v>
      </c>
      <c r="Y86" s="59">
        <f t="shared" si="26"/>
        <v>1.4025564393814813E-7</v>
      </c>
      <c r="Z86" s="59">
        <f t="shared" si="26"/>
        <v>0</v>
      </c>
      <c r="AA86" s="59"/>
    </row>
    <row r="87" spans="1:99" s="1" customFormat="1" ht="18" x14ac:dyDescent="0.2">
      <c r="A87" s="1" t="s">
        <v>2</v>
      </c>
      <c r="E87" s="1">
        <f t="shared" si="19"/>
        <v>0</v>
      </c>
      <c r="F87" s="1">
        <f t="shared" si="20"/>
        <v>0</v>
      </c>
      <c r="G87" s="4">
        <f t="shared" si="21"/>
        <v>0</v>
      </c>
      <c r="H87" s="2">
        <v>3.7342460000000001E-3</v>
      </c>
      <c r="I87" s="3">
        <v>0</v>
      </c>
      <c r="J87" s="71" t="s">
        <v>0</v>
      </c>
      <c r="K87" s="71" t="s">
        <v>1</v>
      </c>
      <c r="L87" s="71" t="s">
        <v>0</v>
      </c>
      <c r="N87" s="68">
        <v>2034765</v>
      </c>
      <c r="O87" s="66">
        <f t="shared" si="27"/>
        <v>0</v>
      </c>
      <c r="P87" s="66">
        <f t="shared" si="28"/>
        <v>1.8352222492523707</v>
      </c>
      <c r="Q87" s="66">
        <f t="shared" si="29"/>
        <v>0</v>
      </c>
      <c r="R87" s="69">
        <v>5.6099999999999999E-8</v>
      </c>
      <c r="S87" s="69">
        <v>6.1200000000000005E-8</v>
      </c>
      <c r="T87" s="69">
        <v>6.6300000000000005E-8</v>
      </c>
      <c r="U87" s="59">
        <f t="shared" si="23"/>
        <v>0</v>
      </c>
      <c r="V87" s="59">
        <f t="shared" si="24"/>
        <v>0.22853585520000003</v>
      </c>
      <c r="W87" s="59">
        <f t="shared" si="25"/>
        <v>0</v>
      </c>
      <c r="X87" s="59">
        <f t="shared" si="26"/>
        <v>0</v>
      </c>
      <c r="Y87" s="59">
        <f t="shared" si="26"/>
        <v>1.1231560165424509E-7</v>
      </c>
      <c r="Z87" s="59">
        <f>T87*Q87</f>
        <v>0</v>
      </c>
      <c r="AA87" s="59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x14ac:dyDescent="0.2">
      <c r="F88" s="46" t="s">
        <v>100</v>
      </c>
      <c r="G88" s="47">
        <f>SUM(G2:G87)</f>
        <v>1.0200084244700005</v>
      </c>
      <c r="H88" s="47">
        <f>SUM(H2:H87)</f>
        <v>1.143190192</v>
      </c>
      <c r="I88" s="47">
        <f>SUM(I2:I87)</f>
        <v>4.7610240625200007</v>
      </c>
      <c r="O88"/>
      <c r="P88"/>
      <c r="Q88"/>
      <c r="U88" s="69">
        <f>SUM(U2:U87)</f>
        <v>57.222472612767</v>
      </c>
      <c r="V88" s="69">
        <f t="shared" ref="V88:W88" si="30">SUM(V2:V87)</f>
        <v>69.963239750399993</v>
      </c>
      <c r="W88" s="69">
        <f t="shared" si="30"/>
        <v>315.65589534507592</v>
      </c>
    </row>
    <row r="89" spans="1:99" x14ac:dyDescent="0.2">
      <c r="O89"/>
      <c r="P89"/>
      <c r="Q89"/>
    </row>
    <row r="90" spans="1:99" x14ac:dyDescent="0.2">
      <c r="O90"/>
      <c r="P90"/>
      <c r="Q90"/>
    </row>
    <row r="91" spans="1:99" x14ac:dyDescent="0.2">
      <c r="O91"/>
      <c r="P91"/>
      <c r="Q91"/>
    </row>
    <row r="92" spans="1:99" x14ac:dyDescent="0.2">
      <c r="O92"/>
      <c r="P92"/>
      <c r="Q92"/>
    </row>
    <row r="93" spans="1:99" x14ac:dyDescent="0.2">
      <c r="O93"/>
      <c r="P93"/>
      <c r="Q93"/>
    </row>
    <row r="94" spans="1:99" x14ac:dyDescent="0.2">
      <c r="O94"/>
      <c r="P94"/>
      <c r="Q94"/>
    </row>
    <row r="95" spans="1:99" x14ac:dyDescent="0.2">
      <c r="O95"/>
      <c r="P95"/>
      <c r="Q95"/>
    </row>
    <row r="96" spans="1:99" x14ac:dyDescent="0.2">
      <c r="O96"/>
      <c r="P96"/>
      <c r="Q96"/>
    </row>
    <row r="97" spans="15:17" x14ac:dyDescent="0.2">
      <c r="O97"/>
      <c r="P97"/>
      <c r="Q97"/>
    </row>
    <row r="98" spans="15:17" x14ac:dyDescent="0.2">
      <c r="O98"/>
      <c r="P98"/>
      <c r="Q98"/>
    </row>
    <row r="99" spans="15:17" x14ac:dyDescent="0.2">
      <c r="O99"/>
      <c r="P99"/>
      <c r="Q99"/>
    </row>
    <row r="100" spans="15:17" x14ac:dyDescent="0.2">
      <c r="O100"/>
      <c r="P100"/>
      <c r="Q100"/>
    </row>
    <row r="101" spans="15:17" x14ac:dyDescent="0.2">
      <c r="O101"/>
      <c r="P101"/>
      <c r="Q101"/>
    </row>
    <row r="102" spans="15:17" x14ac:dyDescent="0.2">
      <c r="O102"/>
      <c r="P102"/>
      <c r="Q102"/>
    </row>
    <row r="103" spans="15:17" x14ac:dyDescent="0.2">
      <c r="O103"/>
      <c r="P103"/>
      <c r="Q103"/>
    </row>
    <row r="104" spans="15:17" x14ac:dyDescent="0.2">
      <c r="O104"/>
      <c r="P104"/>
      <c r="Q104"/>
    </row>
    <row r="105" spans="15:17" x14ac:dyDescent="0.2">
      <c r="O105"/>
      <c r="P105"/>
      <c r="Q105"/>
    </row>
    <row r="106" spans="15:17" x14ac:dyDescent="0.2">
      <c r="O106"/>
      <c r="P106"/>
      <c r="Q106"/>
    </row>
    <row r="107" spans="15:17" x14ac:dyDescent="0.2">
      <c r="O107"/>
      <c r="P107"/>
      <c r="Q107"/>
    </row>
    <row r="108" spans="15:17" x14ac:dyDescent="0.2">
      <c r="O108"/>
      <c r="P108"/>
      <c r="Q108"/>
    </row>
    <row r="109" spans="15:17" x14ac:dyDescent="0.2">
      <c r="O109"/>
      <c r="P109"/>
      <c r="Q109"/>
    </row>
    <row r="110" spans="15:17" x14ac:dyDescent="0.2">
      <c r="O110"/>
      <c r="P110"/>
      <c r="Q110"/>
    </row>
    <row r="111" spans="15:17" x14ac:dyDescent="0.2">
      <c r="O111"/>
      <c r="P111"/>
      <c r="Q111"/>
    </row>
    <row r="112" spans="15:17" x14ac:dyDescent="0.2">
      <c r="O112"/>
      <c r="P112"/>
      <c r="Q112"/>
    </row>
    <row r="113" spans="15:17" x14ac:dyDescent="0.2">
      <c r="O113"/>
      <c r="P113"/>
      <c r="Q113"/>
    </row>
    <row r="114" spans="15:17" x14ac:dyDescent="0.2">
      <c r="O114"/>
      <c r="P114"/>
      <c r="Q114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Ansir Ilyas</dc:creator>
  <cp:lastModifiedBy>Ansir Ilyas</cp:lastModifiedBy>
  <dcterms:created xsi:type="dcterms:W3CDTF">2025-06-01T17:04:13Z</dcterms:created>
  <dcterms:modified xsi:type="dcterms:W3CDTF">2025-07-08T14:21:52Z</dcterms:modified>
</cp:coreProperties>
</file>