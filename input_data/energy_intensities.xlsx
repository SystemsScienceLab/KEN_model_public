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yasa/Environments/SFC_CORE3-Calibration_Ansir/input_data/"/>
    </mc:Choice>
  </mc:AlternateContent>
  <xr:revisionPtr revIDLastSave="0" documentId="8_{5BA8D226-75DD-D04A-A8EC-BAAF0055E7B9}" xr6:coauthVersionLast="47" xr6:coauthVersionMax="47" xr10:uidLastSave="{00000000-0000-0000-0000-000000000000}"/>
  <bookViews>
    <workbookView xWindow="1760" yWindow="980" windowWidth="31920" windowHeight="19740" xr2:uid="{3C734D5E-8C66-B548-B71E-774CF4150A8E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3" i="1"/>
  <c r="P2" i="1"/>
  <c r="H4" i="1"/>
  <c r="H3" i="1"/>
  <c r="H2" i="1"/>
  <c r="P8" i="1"/>
  <c r="Q8" i="1"/>
  <c r="Q6" i="1"/>
  <c r="Q7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5" i="1"/>
  <c r="P6" i="1"/>
  <c r="P7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5" i="1"/>
  <c r="O86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7" i="1"/>
  <c r="O5" i="1"/>
  <c r="E2" i="1"/>
  <c r="F2" i="1"/>
  <c r="E3" i="1"/>
  <c r="F3" i="1"/>
  <c r="E4" i="1"/>
  <c r="F4" i="1"/>
  <c r="E5" i="1"/>
  <c r="I5" i="1" s="1"/>
  <c r="F5" i="1"/>
  <c r="G5" i="1" s="1"/>
  <c r="E6" i="1"/>
  <c r="F6" i="1"/>
  <c r="G6" i="1" s="1"/>
  <c r="I6" i="1"/>
  <c r="E7" i="1"/>
  <c r="I7" i="1" s="1"/>
  <c r="F7" i="1"/>
  <c r="H7" i="1" s="1"/>
  <c r="G7" i="1"/>
  <c r="E8" i="1"/>
  <c r="I8" i="1" s="1"/>
  <c r="F8" i="1"/>
  <c r="G8" i="1" s="1"/>
  <c r="E9" i="1"/>
  <c r="I9" i="1" s="1"/>
  <c r="F9" i="1"/>
  <c r="G9" i="1" s="1"/>
  <c r="E10" i="1"/>
  <c r="I10" i="1" s="1"/>
  <c r="F10" i="1"/>
  <c r="H10" i="1" s="1"/>
  <c r="G10" i="1"/>
  <c r="E11" i="1"/>
  <c r="I11" i="1" s="1"/>
  <c r="F11" i="1"/>
  <c r="G11" i="1" s="1"/>
  <c r="H11" i="1"/>
  <c r="E12" i="1"/>
  <c r="I12" i="1" s="1"/>
  <c r="F12" i="1"/>
  <c r="G12" i="1" s="1"/>
  <c r="E13" i="1"/>
  <c r="I13" i="1" s="1"/>
  <c r="F13" i="1"/>
  <c r="G13" i="1" s="1"/>
  <c r="E14" i="1"/>
  <c r="I14" i="1" s="1"/>
  <c r="F14" i="1"/>
  <c r="G14" i="1" s="1"/>
  <c r="E15" i="1"/>
  <c r="I15" i="1" s="1"/>
  <c r="F15" i="1"/>
  <c r="G15" i="1" s="1"/>
  <c r="E16" i="1"/>
  <c r="I16" i="1" s="1"/>
  <c r="F16" i="1"/>
  <c r="H16" i="1" s="1"/>
  <c r="G16" i="1"/>
  <c r="E17" i="1"/>
  <c r="I17" i="1" s="1"/>
  <c r="F17" i="1"/>
  <c r="G17" i="1"/>
  <c r="H17" i="1"/>
  <c r="E18" i="1"/>
  <c r="I18" i="1" s="1"/>
  <c r="F18" i="1"/>
  <c r="H18" i="1" s="1"/>
  <c r="G18" i="1"/>
  <c r="E19" i="1"/>
  <c r="I19" i="1" s="1"/>
  <c r="F19" i="1"/>
  <c r="H19" i="1" s="1"/>
  <c r="G19" i="1"/>
  <c r="E20" i="1"/>
  <c r="I20" i="1" s="1"/>
  <c r="F20" i="1"/>
  <c r="G20" i="1"/>
  <c r="H20" i="1"/>
  <c r="M20" i="1"/>
  <c r="E21" i="1"/>
  <c r="I21" i="1" s="1"/>
  <c r="F21" i="1"/>
  <c r="G21" i="1"/>
  <c r="H21" i="1"/>
  <c r="M21" i="1"/>
  <c r="E22" i="1"/>
  <c r="I22" i="1" s="1"/>
  <c r="F22" i="1"/>
  <c r="H22" i="1" s="1"/>
  <c r="M22" i="1"/>
  <c r="E23" i="1"/>
  <c r="I23" i="1" s="1"/>
  <c r="F23" i="1"/>
  <c r="G23" i="1" s="1"/>
  <c r="M23" i="1"/>
  <c r="E24" i="1"/>
  <c r="I24" i="1" s="1"/>
  <c r="F24" i="1"/>
  <c r="G24" i="1" s="1"/>
  <c r="M24" i="1"/>
  <c r="E25" i="1"/>
  <c r="I25" i="1" s="1"/>
  <c r="F25" i="1"/>
  <c r="G25" i="1" s="1"/>
  <c r="M25" i="1"/>
  <c r="E26" i="1"/>
  <c r="I26" i="1" s="1"/>
  <c r="F26" i="1"/>
  <c r="H26" i="1" s="1"/>
  <c r="G26" i="1"/>
  <c r="M26" i="1"/>
  <c r="E27" i="1"/>
  <c r="I27" i="1" s="1"/>
  <c r="F27" i="1"/>
  <c r="G27" i="1" s="1"/>
  <c r="M27" i="1"/>
  <c r="E28" i="1"/>
  <c r="I28" i="1" s="1"/>
  <c r="F28" i="1"/>
  <c r="G28" i="1" s="1"/>
  <c r="H28" i="1"/>
  <c r="M28" i="1"/>
  <c r="E29" i="1"/>
  <c r="I29" i="1" s="1"/>
  <c r="F29" i="1"/>
  <c r="G29" i="1" s="1"/>
  <c r="M29" i="1"/>
  <c r="E30" i="1"/>
  <c r="I30" i="1" s="1"/>
  <c r="F30" i="1"/>
  <c r="G30" i="1" s="1"/>
  <c r="M30" i="1"/>
  <c r="E31" i="1"/>
  <c r="I31" i="1" s="1"/>
  <c r="F31" i="1"/>
  <c r="G31" i="1" s="1"/>
  <c r="M31" i="1"/>
  <c r="E32" i="1"/>
  <c r="I32" i="1" s="1"/>
  <c r="F32" i="1"/>
  <c r="H32" i="1" s="1"/>
  <c r="M32" i="1"/>
  <c r="E33" i="1"/>
  <c r="I33" i="1" s="1"/>
  <c r="F33" i="1"/>
  <c r="G33" i="1" s="1"/>
  <c r="M33" i="1"/>
  <c r="E34" i="1"/>
  <c r="I34" i="1" s="1"/>
  <c r="F34" i="1"/>
  <c r="G34" i="1" s="1"/>
  <c r="M34" i="1"/>
  <c r="E35" i="1"/>
  <c r="I35" i="1" s="1"/>
  <c r="F35" i="1"/>
  <c r="G35" i="1" s="1"/>
  <c r="M35" i="1"/>
  <c r="E36" i="1"/>
  <c r="I36" i="1" s="1"/>
  <c r="F36" i="1"/>
  <c r="G36" i="1" s="1"/>
  <c r="H36" i="1"/>
  <c r="M36" i="1"/>
  <c r="E37" i="1"/>
  <c r="I37" i="1" s="1"/>
  <c r="F37" i="1"/>
  <c r="H37" i="1" s="1"/>
  <c r="G37" i="1"/>
  <c r="M37" i="1"/>
  <c r="E38" i="1"/>
  <c r="I38" i="1" s="1"/>
  <c r="F38" i="1"/>
  <c r="G38" i="1" s="1"/>
  <c r="M38" i="1"/>
  <c r="E39" i="1"/>
  <c r="I39" i="1" s="1"/>
  <c r="F39" i="1"/>
  <c r="G39" i="1" s="1"/>
  <c r="M39" i="1"/>
  <c r="E40" i="1"/>
  <c r="I40" i="1" s="1"/>
  <c r="F40" i="1"/>
  <c r="H40" i="1" s="1"/>
  <c r="G40" i="1"/>
  <c r="M40" i="1"/>
  <c r="E41" i="1"/>
  <c r="I41" i="1" s="1"/>
  <c r="F41" i="1"/>
  <c r="H41" i="1" s="1"/>
  <c r="G41" i="1"/>
  <c r="M41" i="1"/>
  <c r="E42" i="1"/>
  <c r="I42" i="1" s="1"/>
  <c r="F42" i="1"/>
  <c r="G42" i="1" s="1"/>
  <c r="M42" i="1"/>
  <c r="E43" i="1"/>
  <c r="F43" i="1"/>
  <c r="G43" i="1"/>
  <c r="I43" i="1"/>
  <c r="M43" i="1"/>
  <c r="E44" i="1"/>
  <c r="I44" i="1" s="1"/>
  <c r="F44" i="1"/>
  <c r="G44" i="1" s="1"/>
  <c r="M44" i="1"/>
  <c r="E45" i="1"/>
  <c r="I45" i="1" s="1"/>
  <c r="F45" i="1"/>
  <c r="G45" i="1" s="1"/>
  <c r="M45" i="1"/>
  <c r="E46" i="1"/>
  <c r="I46" i="1" s="1"/>
  <c r="F46" i="1"/>
  <c r="G46" i="1" s="1"/>
  <c r="E47" i="1"/>
  <c r="I47" i="1" s="1"/>
  <c r="F47" i="1"/>
  <c r="G47" i="1"/>
  <c r="E48" i="1"/>
  <c r="I48" i="1" s="1"/>
  <c r="F48" i="1"/>
  <c r="G48" i="1" s="1"/>
  <c r="E49" i="1"/>
  <c r="I49" i="1" s="1"/>
  <c r="F49" i="1"/>
  <c r="G49" i="1" s="1"/>
  <c r="E50" i="1"/>
  <c r="F50" i="1"/>
  <c r="G50" i="1" s="1"/>
  <c r="I50" i="1"/>
  <c r="E51" i="1"/>
  <c r="I51" i="1" s="1"/>
  <c r="F51" i="1"/>
  <c r="G51" i="1"/>
  <c r="E52" i="1"/>
  <c r="I52" i="1" s="1"/>
  <c r="F52" i="1"/>
  <c r="G52" i="1" s="1"/>
  <c r="E53" i="1"/>
  <c r="I53" i="1" s="1"/>
  <c r="F53" i="1"/>
  <c r="G53" i="1" s="1"/>
  <c r="E54" i="1"/>
  <c r="I54" i="1" s="1"/>
  <c r="F54" i="1"/>
  <c r="G54" i="1" s="1"/>
  <c r="E55" i="1"/>
  <c r="I55" i="1" s="1"/>
  <c r="F55" i="1"/>
  <c r="G55" i="1" s="1"/>
  <c r="E56" i="1"/>
  <c r="I56" i="1" s="1"/>
  <c r="F56" i="1"/>
  <c r="G56" i="1" s="1"/>
  <c r="E57" i="1"/>
  <c r="I57" i="1" s="1"/>
  <c r="F57" i="1"/>
  <c r="G57" i="1" s="1"/>
  <c r="E58" i="1"/>
  <c r="I58" i="1" s="1"/>
  <c r="F58" i="1"/>
  <c r="G58" i="1"/>
  <c r="E59" i="1"/>
  <c r="I59" i="1" s="1"/>
  <c r="F59" i="1"/>
  <c r="G59" i="1" s="1"/>
  <c r="E60" i="1"/>
  <c r="I60" i="1" s="1"/>
  <c r="F60" i="1"/>
  <c r="G60" i="1" s="1"/>
  <c r="E61" i="1"/>
  <c r="I61" i="1" s="1"/>
  <c r="F61" i="1"/>
  <c r="G61" i="1" s="1"/>
  <c r="E62" i="1"/>
  <c r="I62" i="1" s="1"/>
  <c r="F62" i="1"/>
  <c r="G62" i="1" s="1"/>
  <c r="E63" i="1"/>
  <c r="I63" i="1" s="1"/>
  <c r="F63" i="1"/>
  <c r="G63" i="1" s="1"/>
  <c r="E64" i="1"/>
  <c r="I64" i="1" s="1"/>
  <c r="F64" i="1"/>
  <c r="G64" i="1" s="1"/>
  <c r="E65" i="1"/>
  <c r="I65" i="1" s="1"/>
  <c r="F65" i="1"/>
  <c r="G65" i="1" s="1"/>
  <c r="E66" i="1"/>
  <c r="I66" i="1" s="1"/>
  <c r="F66" i="1"/>
  <c r="G66" i="1"/>
  <c r="E67" i="1"/>
  <c r="I67" i="1" s="1"/>
  <c r="F67" i="1"/>
  <c r="G67" i="1" s="1"/>
  <c r="E68" i="1"/>
  <c r="F68" i="1"/>
  <c r="G68" i="1"/>
  <c r="I68" i="1"/>
  <c r="E69" i="1"/>
  <c r="I69" i="1" s="1"/>
  <c r="F69" i="1"/>
  <c r="G69" i="1" s="1"/>
  <c r="E70" i="1"/>
  <c r="I70" i="1" s="1"/>
  <c r="F70" i="1"/>
  <c r="G70" i="1" s="1"/>
  <c r="E71" i="1"/>
  <c r="I71" i="1" s="1"/>
  <c r="F71" i="1"/>
  <c r="G71" i="1" s="1"/>
  <c r="E72" i="1"/>
  <c r="I72" i="1" s="1"/>
  <c r="F72" i="1"/>
  <c r="G72" i="1" s="1"/>
  <c r="E73" i="1"/>
  <c r="I73" i="1" s="1"/>
  <c r="F73" i="1"/>
  <c r="G73" i="1" s="1"/>
  <c r="E74" i="1"/>
  <c r="I74" i="1" s="1"/>
  <c r="F74" i="1"/>
  <c r="G74" i="1" s="1"/>
  <c r="E75" i="1"/>
  <c r="I75" i="1" s="1"/>
  <c r="F75" i="1"/>
  <c r="G75" i="1" s="1"/>
  <c r="E76" i="1"/>
  <c r="I76" i="1" s="1"/>
  <c r="F76" i="1"/>
  <c r="G76" i="1"/>
  <c r="E77" i="1"/>
  <c r="I77" i="1" s="1"/>
  <c r="F77" i="1"/>
  <c r="G77" i="1"/>
  <c r="E78" i="1"/>
  <c r="I78" i="1" s="1"/>
  <c r="F78" i="1"/>
  <c r="G78" i="1" s="1"/>
  <c r="E79" i="1"/>
  <c r="I79" i="1" s="1"/>
  <c r="F79" i="1"/>
  <c r="G79" i="1" s="1"/>
  <c r="E80" i="1"/>
  <c r="F80" i="1"/>
  <c r="G80" i="1" s="1"/>
  <c r="I80" i="1"/>
  <c r="E81" i="1"/>
  <c r="I81" i="1" s="1"/>
  <c r="F81" i="1"/>
  <c r="G81" i="1"/>
  <c r="E82" i="1"/>
  <c r="I82" i="1" s="1"/>
  <c r="F82" i="1"/>
  <c r="G82" i="1" s="1"/>
  <c r="E83" i="1"/>
  <c r="I83" i="1" s="1"/>
  <c r="F83" i="1"/>
  <c r="G83" i="1" s="1"/>
  <c r="E84" i="1"/>
  <c r="I84" i="1" s="1"/>
  <c r="F84" i="1"/>
  <c r="G84" i="1" s="1"/>
  <c r="E85" i="1"/>
  <c r="I85" i="1" s="1"/>
  <c r="F85" i="1"/>
  <c r="G85" i="1" s="1"/>
  <c r="E86" i="1"/>
  <c r="F86" i="1"/>
  <c r="G86" i="1" s="1"/>
  <c r="E87" i="1"/>
  <c r="F87" i="1"/>
  <c r="G87" i="1" s="1"/>
  <c r="H25" i="1" l="1"/>
  <c r="H13" i="1"/>
  <c r="H30" i="1"/>
  <c r="H27" i="1"/>
  <c r="H23" i="1"/>
  <c r="H35" i="1"/>
  <c r="H15" i="1"/>
  <c r="H12" i="1"/>
  <c r="H9" i="1"/>
  <c r="G32" i="1"/>
  <c r="G22" i="1"/>
  <c r="H38" i="1"/>
  <c r="H6" i="1"/>
  <c r="H31" i="1"/>
  <c r="H8" i="1"/>
  <c r="H33" i="1"/>
  <c r="H14" i="1"/>
  <c r="H5" i="1"/>
  <c r="I88" i="1"/>
  <c r="H39" i="1"/>
  <c r="H34" i="1"/>
  <c r="H29" i="1"/>
  <c r="H24" i="1"/>
  <c r="G88" i="1" l="1"/>
  <c r="H88" i="1"/>
</calcChain>
</file>

<file path=xl/sharedStrings.xml><?xml version="1.0" encoding="utf-8"?>
<sst xmlns="http://schemas.openxmlformats.org/spreadsheetml/2006/main" count="115" uniqueCount="105">
  <si>
    <t>0.0</t>
  </si>
  <si>
    <t>0.003734246</t>
  </si>
  <si>
    <t>Wwater</t>
  </si>
  <si>
    <t>0.008501</t>
  </si>
  <si>
    <t>Desalination</t>
  </si>
  <si>
    <t>Other personal service activities</t>
  </si>
  <si>
    <t>Repair of computers and personal and household goods</t>
  </si>
  <si>
    <t>Activities of membership organizations</t>
  </si>
  <si>
    <t>Sports activities and amusement and recreation activities</t>
  </si>
  <si>
    <t>Libraries, archives, museums and other cultural activities</t>
  </si>
  <si>
    <t>Creative, arts and entertainment activities</t>
  </si>
  <si>
    <t>Social work activities without accommodation</t>
  </si>
  <si>
    <t>Residential care activities</t>
  </si>
  <si>
    <t>Human health activities</t>
  </si>
  <si>
    <t>Education</t>
  </si>
  <si>
    <t>Public administration and defence; compulsory social security</t>
  </si>
  <si>
    <t>Office administrative, office support and other business support activities</t>
  </si>
  <si>
    <t>Services to buildings and landscape activities</t>
  </si>
  <si>
    <t>Security and investigation activities</t>
  </si>
  <si>
    <t>Travel agency, tour operator, reservation service and related activities</t>
  </si>
  <si>
    <t>Employment activities</t>
  </si>
  <si>
    <t>Rental and leasing activities</t>
  </si>
  <si>
    <t>Veterinary activities</t>
  </si>
  <si>
    <t>Other professional, scientific and technical activities</t>
  </si>
  <si>
    <t>Advertising and market research</t>
  </si>
  <si>
    <t>Scientific research and development</t>
  </si>
  <si>
    <t>Architectural and engineering activities; technical testing and analysis</t>
  </si>
  <si>
    <t>Activities of head offices; management consultancy activities</t>
  </si>
  <si>
    <t>Legal and accounting activities</t>
  </si>
  <si>
    <t>Real estate activities</t>
  </si>
  <si>
    <t>Activities auxiliary to financial service and insurance activities</t>
  </si>
  <si>
    <t>Insurance, reinsurance and pension funding, except compulsory social security</t>
  </si>
  <si>
    <t>Financial service activities, except insurance and pension funding</t>
  </si>
  <si>
    <t>Information service activities</t>
  </si>
  <si>
    <t>Computer programming, consultancy and related activities</t>
  </si>
  <si>
    <t>Telecommunications</t>
  </si>
  <si>
    <t>Programming and broadcasting activities</t>
  </si>
  <si>
    <t>Motion picture, video and television programme production, sound recording and music publishing activities</t>
  </si>
  <si>
    <t>Publishing activities</t>
  </si>
  <si>
    <t>Food and beverage service activities</t>
  </si>
  <si>
    <t>Accommodation</t>
  </si>
  <si>
    <t>Postal and courier activities</t>
  </si>
  <si>
    <t>Warehousing and support activities for transportation</t>
  </si>
  <si>
    <t>Air transport</t>
  </si>
  <si>
    <t>Water transport</t>
  </si>
  <si>
    <t>Land transport and transport via pipelines</t>
  </si>
  <si>
    <t>Retail trade, except of motor vehicles and motorcycles</t>
  </si>
  <si>
    <t>Wholesale trade, except of motor vehicles and motorcycles</t>
  </si>
  <si>
    <t>Wholesale and retail trade and repair of motor vehicles and motorcycles</t>
  </si>
  <si>
    <t>Specialized construction activities</t>
  </si>
  <si>
    <t>Civil engineering</t>
  </si>
  <si>
    <t>Construction of buildings</t>
  </si>
  <si>
    <t>Remediation activities and other waste management services</t>
  </si>
  <si>
    <t>Waste collection, treatment and disposal activities; materials recovery</t>
  </si>
  <si>
    <t>Sewerage</t>
  </si>
  <si>
    <t>Water collection, treatment and supply</t>
  </si>
  <si>
    <t>Electricity, gas, steam and air conditioning supply</t>
  </si>
  <si>
    <t>Repair and installation of machinery and equipment</t>
  </si>
  <si>
    <t>Other manufacturing</t>
  </si>
  <si>
    <t>Manufacture of furniture</t>
  </si>
  <si>
    <t>Manufacture of other transport equipment</t>
  </si>
  <si>
    <t>Manufacture of motor vehicles, trailers and semi-trailers</t>
  </si>
  <si>
    <t>Manufacture of machinery and equipment n.e.c.</t>
  </si>
  <si>
    <t>Manufacture of electrical equipment</t>
  </si>
  <si>
    <t>Manufacture of computer, electronic and optical products</t>
  </si>
  <si>
    <t>Manufacture of fabricated metal products, except machinery and equipment</t>
  </si>
  <si>
    <t>Manufacture of basic metals</t>
  </si>
  <si>
    <t>0.187375</t>
  </si>
  <si>
    <t>Manufacture of other non-metallic mineral products</t>
  </si>
  <si>
    <t>Manufacture of rubber and plastics products</t>
  </si>
  <si>
    <t>Manufacture of basic pharmaceutical products and pharmaceutical preparations</t>
  </si>
  <si>
    <t>Manufacture of chemicals and chemical products</t>
  </si>
  <si>
    <t>Manufacture of coke and refined petroleum products</t>
  </si>
  <si>
    <t>Printing and reproduction of recorded media</t>
  </si>
  <si>
    <t>Manufacture of paper and paper products</t>
  </si>
  <si>
    <t>Manufacture of woods, wood products and cork except furniture</t>
  </si>
  <si>
    <t>Manufacture of leather and related products</t>
  </si>
  <si>
    <t>Manufacture of wearing apparel</t>
  </si>
  <si>
    <t>Manufacture of textiles</t>
  </si>
  <si>
    <t>Manufacture of tobacco products</t>
  </si>
  <si>
    <t>Manufacture of beverages</t>
  </si>
  <si>
    <t>Manufacture of food products</t>
  </si>
  <si>
    <t>Mining support service activities</t>
  </si>
  <si>
    <t>Other mining and quarrying activities</t>
  </si>
  <si>
    <t>Mining of metal ores</t>
  </si>
  <si>
    <t>Extraction of crude petroleum and natural gas</t>
  </si>
  <si>
    <t>Mining of coal and lignite</t>
  </si>
  <si>
    <t>Fishing and aquaculture</t>
  </si>
  <si>
    <t>Forestry and logging</t>
  </si>
  <si>
    <t>Crop and animal production, hunting and related service activities</t>
  </si>
  <si>
    <t>Share of sector in aggregate energy use sector: Electricity, gas, steam and air conditioning supply</t>
  </si>
  <si>
    <t>Share of sector in aggregate energy use sector: Manufacture of coke and refined petroleum products</t>
  </si>
  <si>
    <t>KEN model sectors</t>
  </si>
  <si>
    <t>Total Electricity use EJ from GCAM</t>
  </si>
  <si>
    <t>Total Gas use in EJ From GCAM</t>
  </si>
  <si>
    <t>Total Oil use in EJ from GCAM</t>
  </si>
  <si>
    <t>Total energy use in EJ from GCAM</t>
  </si>
  <si>
    <t xml:space="preserve">Gas use in EJ for KEN </t>
  </si>
  <si>
    <t>Eelectricity use in E J for KEN</t>
  </si>
  <si>
    <t>Oil use in EJ for KEN</t>
  </si>
  <si>
    <t>Total</t>
  </si>
  <si>
    <t>Total ouput in Thousdand SAR</t>
  </si>
  <si>
    <t>gas_intentsities (GJ/Thousand SAR)</t>
  </si>
  <si>
    <t>electricity_intentsities (GJ/Thousand SAR)</t>
  </si>
  <si>
    <t>oil_intentsities (GJ/Thousand 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</si>
</sst>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4"/>
      <color theme="1"/>
      <name val="Menlo"/>
      <family val="2"/>
    </font>
    <font>
      <sz val="10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0"/>
      <color theme="0"/>
      <name val="Aptos Narrow"/>
      <scheme val="minor"/>
    </font>
    <font>
      <sz val="10"/>
      <color rgb="FFFF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11" fontId="0" fillId="3" borderId="0" xfId="2" applyNumberFormat="1" applyFont="1" applyFill="1"/>
    <xf numFmtId="2" fontId="0" fillId="2" borderId="0" xfId="2" applyNumberFormat="1" applyFont="1" applyFill="1"/>
    <xf numFmtId="0" fontId="0" fillId="2" borderId="1" xfId="0" applyFill="1" applyBorder="1"/>
    <xf numFmtId="0" fontId="0" fillId="4" borderId="0" xfId="0" applyFill="1"/>
    <xf numFmtId="3" fontId="0" fillId="4" borderId="0" xfId="0" applyNumberFormat="1" applyFill="1"/>
    <xf numFmtId="2" fontId="0" fillId="4" borderId="0" xfId="2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3" fontId="0" fillId="5" borderId="0" xfId="0" applyNumberFormat="1" applyFill="1"/>
    <xf numFmtId="2" fontId="0" fillId="5" borderId="0" xfId="2" applyNumberFormat="1" applyFont="1" applyFill="1"/>
    <xf numFmtId="3" fontId="2" fillId="5" borderId="0" xfId="0" applyNumberFormat="1" applyFont="1" applyFill="1"/>
    <xf numFmtId="0" fontId="2" fillId="5" borderId="0" xfId="0" applyFont="1" applyFill="1"/>
    <xf numFmtId="0" fontId="0" fillId="6" borderId="0" xfId="0" applyFill="1"/>
    <xf numFmtId="2" fontId="0" fillId="6" borderId="0" xfId="0" applyNumberFormat="1" applyFill="1"/>
    <xf numFmtId="3" fontId="0" fillId="6" borderId="0" xfId="0" applyNumberFormat="1" applyFill="1"/>
    <xf numFmtId="2" fontId="0" fillId="6" borderId="0" xfId="2" applyNumberFormat="1" applyFont="1" applyFill="1"/>
    <xf numFmtId="3" fontId="2" fillId="6" borderId="0" xfId="0" applyNumberFormat="1" applyFont="1" applyFill="1"/>
    <xf numFmtId="0" fontId="1" fillId="6" borderId="0" xfId="0" applyFont="1" applyFill="1"/>
    <xf numFmtId="0" fontId="2" fillId="6" borderId="0" xfId="0" applyFont="1" applyFill="1"/>
    <xf numFmtId="0" fontId="0" fillId="7" borderId="0" xfId="0" applyFill="1"/>
    <xf numFmtId="2" fontId="0" fillId="7" borderId="0" xfId="0" applyNumberFormat="1" applyFill="1"/>
    <xf numFmtId="11" fontId="0" fillId="7" borderId="0" xfId="0" applyNumberFormat="1" applyFill="1"/>
    <xf numFmtId="11" fontId="0" fillId="7" borderId="0" xfId="2" applyNumberFormat="1" applyFont="1" applyFill="1"/>
    <xf numFmtId="0" fontId="0" fillId="7" borderId="0" xfId="2" applyNumberFormat="1" applyFont="1" applyFill="1"/>
    <xf numFmtId="3" fontId="0" fillId="7" borderId="0" xfId="0" applyNumberFormat="1" applyFill="1"/>
    <xf numFmtId="0" fontId="2" fillId="7" borderId="0" xfId="0" applyFont="1" applyFill="1"/>
    <xf numFmtId="3" fontId="2" fillId="7" borderId="0" xfId="0" applyNumberFormat="1" applyFont="1" applyFill="1"/>
    <xf numFmtId="0" fontId="0" fillId="3" borderId="0" xfId="0" applyFill="1"/>
    <xf numFmtId="2" fontId="0" fillId="3" borderId="0" xfId="2" applyNumberFormat="1" applyFont="1" applyFill="1"/>
    <xf numFmtId="0" fontId="0" fillId="3" borderId="0" xfId="2" applyNumberFormat="1" applyFont="1" applyFill="1"/>
    <xf numFmtId="3" fontId="0" fillId="3" borderId="0" xfId="0" applyNumberFormat="1" applyFill="1"/>
    <xf numFmtId="3" fontId="2" fillId="3" borderId="0" xfId="0" applyNumberFormat="1" applyFont="1" applyFill="1"/>
    <xf numFmtId="0" fontId="2" fillId="3" borderId="0" xfId="0" applyFont="1" applyFill="1"/>
    <xf numFmtId="0" fontId="0" fillId="8" borderId="0" xfId="0" applyFill="1"/>
    <xf numFmtId="3" fontId="0" fillId="8" borderId="0" xfId="0" applyNumberFormat="1" applyFill="1"/>
    <xf numFmtId="0" fontId="2" fillId="8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5" fillId="0" borderId="2" xfId="0" applyFont="1" applyBorder="1" applyAlignment="1">
      <alignment horizontal="center" vertical="top" wrapText="1"/>
    </xf>
    <xf numFmtId="0" fontId="6" fillId="9" borderId="0" xfId="0" applyFont="1" applyFill="1"/>
    <xf numFmtId="11" fontId="6" fillId="9" borderId="0" xfId="0" applyNumberFormat="1" applyFont="1" applyFill="1"/>
    <xf numFmtId="0" fontId="1" fillId="8" borderId="0" xfId="0" applyFont="1" applyFill="1"/>
    <xf numFmtId="2" fontId="1" fillId="3" borderId="0" xfId="0" applyNumberFormat="1" applyFont="1" applyFill="1"/>
    <xf numFmtId="11" fontId="1" fillId="7" borderId="0" xfId="0" applyNumberFormat="1" applyFont="1" applyFill="1"/>
    <xf numFmtId="0" fontId="1" fillId="7" borderId="0" xfId="0" applyFont="1" applyFill="1"/>
    <xf numFmtId="0" fontId="1" fillId="5" borderId="0" xfId="0" applyFont="1" applyFill="1"/>
    <xf numFmtId="11" fontId="1" fillId="4" borderId="0" xfId="0" applyNumberFormat="1" applyFont="1" applyFill="1"/>
    <xf numFmtId="0" fontId="1" fillId="4" borderId="0" xfId="0" applyFont="1" applyFill="1"/>
    <xf numFmtId="0" fontId="1" fillId="2" borderId="0" xfId="0" applyFont="1" applyFill="1"/>
    <xf numFmtId="0" fontId="4" fillId="8" borderId="0" xfId="0" applyFont="1" applyFill="1"/>
    <xf numFmtId="2" fontId="1" fillId="4" borderId="0" xfId="1" applyNumberFormat="1" applyFont="1" applyFill="1" applyBorder="1"/>
    <xf numFmtId="3" fontId="1" fillId="7" borderId="0" xfId="0" applyNumberFormat="1" applyFont="1" applyFill="1"/>
    <xf numFmtId="11" fontId="0" fillId="8" borderId="0" xfId="0" applyNumberFormat="1" applyFill="1"/>
    <xf numFmtId="11" fontId="0" fillId="3" borderId="0" xfId="0" applyNumberFormat="1" applyFill="1"/>
    <xf numFmtId="11" fontId="0" fillId="6" borderId="0" xfId="0" applyNumberFormat="1" applyFill="1"/>
    <xf numFmtId="11" fontId="0" fillId="5" borderId="0" xfId="0" applyNumberFormat="1" applyFill="1"/>
    <xf numFmtId="11" fontId="0" fillId="4" borderId="0" xfId="0" applyNumberFormat="1" applyFill="1"/>
    <xf numFmtId="0" fontId="0" fillId="0" borderId="0" xfId="0" applyFill="1"/>
    <xf numFmtId="0" fontId="0" fillId="10" borderId="0" xfId="0" applyFill="1"/>
    <xf numFmtId="0" fontId="3" fillId="10" borderId="0" xfId="0" applyNumberFormat="1" applyFont="1" applyFill="1"/>
    <xf numFmtId="11" fontId="3" fillId="10" borderId="0" xfId="0" applyNumberFormat="1" applyFont="1" applyFill="1"/>
    <xf numFmtId="0" fontId="7" fillId="10" borderId="0" xfId="0" applyFont="1" applyFill="1" applyAlignment="1">
      <alignment wrapText="1"/>
    </xf>
    <xf numFmtId="11" fontId="0" fillId="2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90B3-828B-1148-82B6-DC93EC7527EA}">
  <dimension ref="A1:CU114"/>
  <sheetViews>
    <sheetView tabSelected="1" zoomScale="215" zoomScaleNormal="215" workbookViewId="0">
      <pane xSplit="1" topLeftCell="B1" activePane="topRight" state="frozen"/>
      <selection pane="topRight" activeCell="A88" sqref="A88"/>
    </sheetView>
  </sheetViews>
  <sheetFormatPr baseColWidth="10" defaultRowHeight="14" x14ac:dyDescent="0.2"/>
  <cols>
    <col min="1" max="1" width="67.3984375" customWidth="1"/>
    <col min="2" max="2" width="46.3984375" customWidth="1"/>
    <col min="3" max="3" width="51.19921875" bestFit="1" customWidth="1"/>
    <col min="4" max="4" width="47.796875" bestFit="1" customWidth="1"/>
    <col min="5" max="7" width="47.796875" customWidth="1"/>
    <col min="8" max="8" width="25.19921875" customWidth="1"/>
    <col min="9" max="9" width="14.3984375" customWidth="1"/>
    <col min="11" max="11" width="13.59765625" bestFit="1" customWidth="1"/>
    <col min="12" max="12" width="20.796875" bestFit="1" customWidth="1"/>
    <col min="14" max="14" width="13.796875" bestFit="1" customWidth="1"/>
    <col min="15" max="15" width="20.796875" style="65" bestFit="1" customWidth="1"/>
    <col min="16" max="16" width="20.59765625" style="65" customWidth="1"/>
    <col min="17" max="17" width="15.3984375" style="65" bestFit="1" customWidth="1"/>
    <col min="18" max="18" width="20.19921875" style="64" bestFit="1" customWidth="1"/>
    <col min="19" max="19" width="11" style="64"/>
    <col min="20" max="20" width="20.19921875" style="64" bestFit="1" customWidth="1"/>
    <col min="22" max="22" width="20.19921875" bestFit="1" customWidth="1"/>
    <col min="24" max="25" width="20.19921875" bestFit="1" customWidth="1"/>
    <col min="27" max="27" width="20.19921875" bestFit="1" customWidth="1"/>
    <col min="28" max="28" width="19.19921875" bestFit="1" customWidth="1"/>
    <col min="31" max="31" width="20.19921875" bestFit="1" customWidth="1"/>
    <col min="33" max="33" width="20.19921875" bestFit="1" customWidth="1"/>
    <col min="34" max="34" width="19.19921875" bestFit="1" customWidth="1"/>
    <col min="36" max="39" width="20.19921875" bestFit="1" customWidth="1"/>
    <col min="41" max="42" width="20.19921875" bestFit="1" customWidth="1"/>
    <col min="45" max="45" width="20.19921875" bestFit="1" customWidth="1"/>
    <col min="48" max="49" width="20.19921875" bestFit="1" customWidth="1"/>
    <col min="53" max="59" width="20.19921875" bestFit="1" customWidth="1"/>
    <col min="61" max="62" width="20.19921875" bestFit="1" customWidth="1"/>
    <col min="64" max="64" width="20.19921875" bestFit="1" customWidth="1"/>
    <col min="69" max="73" width="20.19921875" bestFit="1" customWidth="1"/>
    <col min="75" max="75" width="20.19921875" bestFit="1" customWidth="1"/>
    <col min="83" max="84" width="20.19921875" bestFit="1" customWidth="1"/>
    <col min="87" max="87" width="20.19921875" bestFit="1" customWidth="1"/>
    <col min="89" max="91" width="20.19921875" bestFit="1" customWidth="1"/>
    <col min="96" max="99" width="20.19921875" bestFit="1" customWidth="1"/>
  </cols>
  <sheetData>
    <row r="1" spans="1:99" s="42" customFormat="1" ht="42" customHeight="1" x14ac:dyDescent="0.2">
      <c r="A1" s="45" t="s">
        <v>92</v>
      </c>
      <c r="B1" s="44" t="s">
        <v>85</v>
      </c>
      <c r="C1" s="43" t="s">
        <v>72</v>
      </c>
      <c r="D1" s="42" t="s">
        <v>56</v>
      </c>
      <c r="E1" s="42" t="s">
        <v>91</v>
      </c>
      <c r="F1" s="43" t="s">
        <v>90</v>
      </c>
      <c r="G1" s="43" t="s">
        <v>97</v>
      </c>
      <c r="H1" s="43" t="s">
        <v>98</v>
      </c>
      <c r="I1" s="43" t="s">
        <v>99</v>
      </c>
      <c r="J1" s="43" t="s">
        <v>94</v>
      </c>
      <c r="K1" s="43" t="s">
        <v>93</v>
      </c>
      <c r="L1" s="43" t="s">
        <v>95</v>
      </c>
      <c r="M1" s="43" t="s">
        <v>96</v>
      </c>
      <c r="N1" s="42" t="s">
        <v>101</v>
      </c>
      <c r="O1" s="68" t="s">
        <v>102</v>
      </c>
      <c r="P1" s="68" t="s">
        <v>103</v>
      </c>
      <c r="Q1" s="68" t="s">
        <v>104</v>
      </c>
      <c r="R1" s="64"/>
      <c r="S1" s="64"/>
      <c r="T1" s="64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</row>
    <row r="2" spans="1:99" s="39" customFormat="1" ht="19" x14ac:dyDescent="0.25">
      <c r="A2" s="39" t="s">
        <v>89</v>
      </c>
      <c r="B2" s="41">
        <v>0</v>
      </c>
      <c r="C2" s="40">
        <v>4854572</v>
      </c>
      <c r="D2" s="40">
        <v>41269</v>
      </c>
      <c r="E2" s="39">
        <f>(C2+B2)/SUM(B$2:C$4)</f>
        <v>0.92291576600777414</v>
      </c>
      <c r="F2" s="39">
        <f>D2/SUM(D$2:D$4)</f>
        <v>0.97021346624036109</v>
      </c>
      <c r="G2" s="40">
        <v>0</v>
      </c>
      <c r="H2" s="40">
        <f>F2*K$2</f>
        <v>6.239855142114905E-2</v>
      </c>
      <c r="I2" s="40">
        <v>0</v>
      </c>
      <c r="J2" s="48" t="s">
        <v>0</v>
      </c>
      <c r="K2" s="56">
        <v>6.4314249999999906E-2</v>
      </c>
      <c r="L2" s="48" t="s">
        <v>0</v>
      </c>
      <c r="N2" s="59">
        <v>137189295</v>
      </c>
      <c r="O2" s="66">
        <v>0</v>
      </c>
      <c r="P2" s="67">
        <f>(H2/N2)*10^9</f>
        <v>0.45483542590658443</v>
      </c>
      <c r="Q2" s="66">
        <v>0</v>
      </c>
      <c r="R2" s="64"/>
      <c r="S2" s="64"/>
      <c r="T2" s="64"/>
    </row>
    <row r="3" spans="1:99" s="39" customFormat="1" ht="19" x14ac:dyDescent="0.25">
      <c r="A3" s="39" t="s">
        <v>88</v>
      </c>
      <c r="B3" s="41">
        <v>0</v>
      </c>
      <c r="C3" s="40">
        <v>22412</v>
      </c>
      <c r="D3" s="39">
        <v>339</v>
      </c>
      <c r="E3" s="39">
        <f>(C3+B3)/SUM(B$2:C$4)</f>
        <v>4.2608057204149476E-3</v>
      </c>
      <c r="F3" s="39">
        <f>D3/SUM(D$2:D$4)</f>
        <v>7.9697197667857808E-3</v>
      </c>
      <c r="G3" s="40">
        <v>0</v>
      </c>
      <c r="H3" s="40">
        <f>F3*K$2</f>
        <v>5.125665495110017E-4</v>
      </c>
      <c r="I3" s="40">
        <v>0</v>
      </c>
      <c r="K3" s="56"/>
      <c r="N3" s="59">
        <v>206894</v>
      </c>
      <c r="O3" s="66">
        <v>0</v>
      </c>
      <c r="P3" s="67">
        <f>(H3/N3)*10^9</f>
        <v>2.4774355443415552</v>
      </c>
      <c r="Q3" s="66">
        <v>0</v>
      </c>
      <c r="R3" s="64"/>
      <c r="S3" s="64"/>
      <c r="T3" s="64"/>
    </row>
    <row r="4" spans="1:99" s="39" customFormat="1" ht="19" x14ac:dyDescent="0.25">
      <c r="A4" s="39" t="s">
        <v>87</v>
      </c>
      <c r="B4" s="41">
        <v>0</v>
      </c>
      <c r="C4" s="40">
        <v>383054</v>
      </c>
      <c r="D4" s="39">
        <v>928</v>
      </c>
      <c r="E4" s="39">
        <f>(C4+B4)/SUM(B$2:C$4)</f>
        <v>7.2823428271810958E-2</v>
      </c>
      <c r="F4" s="39">
        <f>D4/SUM(D$2:D$4)</f>
        <v>2.1816813992853113E-2</v>
      </c>
      <c r="G4" s="40">
        <v>0</v>
      </c>
      <c r="H4" s="40">
        <f>F4*K$2</f>
        <v>1.4031320293398514E-3</v>
      </c>
      <c r="I4" s="40">
        <v>0</v>
      </c>
      <c r="N4" s="59">
        <v>12254195</v>
      </c>
      <c r="O4" s="66">
        <v>0</v>
      </c>
      <c r="P4" s="67">
        <f>(H4/N4)*10^9</f>
        <v>0.11450217899583377</v>
      </c>
      <c r="Q4" s="66">
        <v>0</v>
      </c>
      <c r="R4" s="64"/>
      <c r="S4" s="64"/>
      <c r="T4" s="64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</row>
    <row r="5" spans="1:99" s="33" customFormat="1" ht="19" x14ac:dyDescent="0.25">
      <c r="A5" s="33" t="s">
        <v>86</v>
      </c>
      <c r="B5" s="38">
        <v>0</v>
      </c>
      <c r="C5" s="33">
        <v>42</v>
      </c>
      <c r="D5" s="33">
        <v>34</v>
      </c>
      <c r="E5" s="35">
        <f>(C5+B5)/SUM(B$5:C$9)</f>
        <v>1.0581514965071302E-6</v>
      </c>
      <c r="F5" s="35">
        <f>D5/SUM(D$5:D$9)</f>
        <v>1.3356678712557595E-5</v>
      </c>
      <c r="G5" s="34">
        <f>J$9*F5</f>
        <v>1.6604515421660526E-6</v>
      </c>
      <c r="H5" s="34">
        <f>K$9*F5</f>
        <v>1.3746052610386075E-8</v>
      </c>
      <c r="I5" s="34">
        <f>L$9*E5</f>
        <v>6.8054219884233597E-8</v>
      </c>
      <c r="N5" s="60">
        <v>2531</v>
      </c>
      <c r="O5" s="67">
        <f>(G5/N5)*10^9</f>
        <v>0.65604565079654387</v>
      </c>
      <c r="P5" s="67">
        <f>(H5/N5)*10^9</f>
        <v>5.431075705407378E-3</v>
      </c>
      <c r="Q5" s="67">
        <f>(I5/N5)*10^9</f>
        <v>2.6888273363980086E-2</v>
      </c>
      <c r="R5" s="64"/>
      <c r="S5" s="64"/>
      <c r="T5" s="64"/>
    </row>
    <row r="6" spans="1:99" s="33" customFormat="1" ht="19" x14ac:dyDescent="0.25">
      <c r="A6" s="33" t="s">
        <v>85</v>
      </c>
      <c r="B6" s="37">
        <v>61940</v>
      </c>
      <c r="C6" s="36">
        <v>36280792</v>
      </c>
      <c r="D6" s="36">
        <v>1928742</v>
      </c>
      <c r="E6" s="35">
        <f>(C6+B6)/SUM(B$5:C$9)</f>
        <v>0.91562181554660871</v>
      </c>
      <c r="F6" s="35">
        <f>D6/SUM(D$5:D$9)</f>
        <v>0.75769374157105185</v>
      </c>
      <c r="G6" s="34">
        <f>J$9*F6</f>
        <v>9.4193606715895203E-2</v>
      </c>
      <c r="H6" s="34">
        <f>K$9*F6</f>
        <v>7.797820295253311E-4</v>
      </c>
      <c r="I6" s="34">
        <f>L$9*E6</f>
        <v>5.8887530350518393E-2</v>
      </c>
      <c r="N6" s="60">
        <v>897254993</v>
      </c>
      <c r="O6" s="67">
        <f t="shared" ref="O6:O69" si="0">(G6/N6)*10^9</f>
        <v>0.10497975207800846</v>
      </c>
      <c r="P6" s="67">
        <f t="shared" ref="P6:P69" si="1">(H6/N6)*10^9</f>
        <v>8.690751632577776E-4</v>
      </c>
      <c r="Q6" s="67">
        <f>(I6/N6)*10^9</f>
        <v>6.5630763617849697E-2</v>
      </c>
      <c r="R6" s="64"/>
      <c r="S6" s="64"/>
      <c r="T6" s="64"/>
    </row>
    <row r="7" spans="1:99" s="33" customFormat="1" ht="19" x14ac:dyDescent="0.25">
      <c r="A7" s="33" t="s">
        <v>84</v>
      </c>
      <c r="B7" s="37">
        <v>38021</v>
      </c>
      <c r="C7" s="36">
        <v>70957</v>
      </c>
      <c r="D7" s="36">
        <v>468470</v>
      </c>
      <c r="E7" s="35">
        <f>(C7+B7)/SUM(B$5:C$9)</f>
        <v>2.7456008044370005E-3</v>
      </c>
      <c r="F7" s="35">
        <f>D7/SUM(D$5:D$9)</f>
        <v>0.18403539048446638</v>
      </c>
      <c r="G7" s="34">
        <f>J$9*F7</f>
        <v>2.2878580410545021E-2</v>
      </c>
      <c r="H7" s="34">
        <f>K$9*F7</f>
        <v>1.8940039018786953E-4</v>
      </c>
      <c r="I7" s="34">
        <f>L$9*E7</f>
        <v>1.7658125653676211E-4</v>
      </c>
      <c r="N7" s="60">
        <v>5200357</v>
      </c>
      <c r="O7" s="67">
        <f t="shared" si="0"/>
        <v>4.3994249645832051</v>
      </c>
      <c r="P7" s="67">
        <f t="shared" si="1"/>
        <v>3.6420651541397932E-2</v>
      </c>
      <c r="Q7" s="67">
        <f t="shared" ref="Q6:Q69" si="2">(I7/N7)*10^9</f>
        <v>3.3955602766648926E-2</v>
      </c>
      <c r="R7" s="64"/>
      <c r="S7" s="64"/>
      <c r="T7" s="64"/>
    </row>
    <row r="8" spans="1:99" s="33" customFormat="1" ht="19" x14ac:dyDescent="0.25">
      <c r="A8" s="33" t="s">
        <v>83</v>
      </c>
      <c r="B8" s="37">
        <v>83971</v>
      </c>
      <c r="C8" s="36">
        <v>2142406</v>
      </c>
      <c r="D8" s="36">
        <v>109070</v>
      </c>
      <c r="E8" s="35">
        <f>(C8+B8)/SUM(B$5:C$9)</f>
        <v>5.6091527484263208E-2</v>
      </c>
      <c r="F8" s="35">
        <f>D8/SUM(D$5:D$9)</f>
        <v>4.2847439622901676E-2</v>
      </c>
      <c r="G8" s="34">
        <f>J$9*F8</f>
        <v>5.326630873648569E-3</v>
      </c>
      <c r="H8" s="34">
        <f>K$9*F8</f>
        <v>4.4096528182788508E-5</v>
      </c>
      <c r="I8" s="34">
        <f>L$9*E8</f>
        <v>3.6074845215047697E-3</v>
      </c>
      <c r="N8" s="60">
        <v>12021631</v>
      </c>
      <c r="O8" s="67">
        <f t="shared" si="0"/>
        <v>0.44308720452728662</v>
      </c>
      <c r="P8" s="67">
        <f>(H8/N8)*10^9</f>
        <v>3.6680986284463825E-3</v>
      </c>
      <c r="Q8" s="67">
        <f>(I8/N8)*10^9</f>
        <v>0.30008278589691945</v>
      </c>
      <c r="R8" s="64"/>
      <c r="S8" s="64"/>
      <c r="T8" s="64"/>
    </row>
    <row r="9" spans="1:99" s="33" customFormat="1" ht="19" x14ac:dyDescent="0.25">
      <c r="A9" s="33" t="s">
        <v>82</v>
      </c>
      <c r="B9" s="37">
        <v>275994</v>
      </c>
      <c r="C9" s="36">
        <v>737736</v>
      </c>
      <c r="D9" s="36">
        <v>39227</v>
      </c>
      <c r="E9" s="35">
        <f>(C9+B9)/SUM(B$5:C$9)</f>
        <v>2.5539998013194596E-2</v>
      </c>
      <c r="F9" s="35">
        <f>D9/SUM(D$5:D$9)</f>
        <v>1.5410071642867553E-2</v>
      </c>
      <c r="G9" s="34">
        <f>J$9*F9</f>
        <v>1.9157215483690513E-3</v>
      </c>
      <c r="H9" s="34">
        <f>K$9*F9</f>
        <v>1.5859306051400428E-5</v>
      </c>
      <c r="I9" s="34">
        <f>L$9*E9</f>
        <v>1.6425858172200982E-3</v>
      </c>
      <c r="J9" s="49">
        <v>0.1243162</v>
      </c>
      <c r="K9" s="33">
        <v>1.029152E-3</v>
      </c>
      <c r="L9" s="33">
        <v>6.4314249999999906E-2</v>
      </c>
      <c r="N9" s="60">
        <v>5321595</v>
      </c>
      <c r="O9" s="67">
        <f t="shared" si="0"/>
        <v>0.35999010604321663</v>
      </c>
      <c r="P9" s="67">
        <f t="shared" si="1"/>
        <v>2.9801790725149939E-3</v>
      </c>
      <c r="Q9" s="67">
        <f t="shared" si="2"/>
        <v>0.30866419132235701</v>
      </c>
      <c r="R9" s="64"/>
      <c r="S9" s="64"/>
      <c r="T9" s="64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</row>
    <row r="10" spans="1:99" s="25" customFormat="1" ht="19" x14ac:dyDescent="0.25">
      <c r="A10" s="25" t="s">
        <v>81</v>
      </c>
      <c r="B10" s="31">
        <v>0</v>
      </c>
      <c r="C10" s="30">
        <v>596744</v>
      </c>
      <c r="D10" s="25">
        <v>862</v>
      </c>
      <c r="E10" s="29">
        <f t="shared" ref="E10:E32" si="3">(C10+B10)/SUM(B$10:C$32)</f>
        <v>1.715730126930833E-3</v>
      </c>
      <c r="F10" s="29">
        <f t="shared" ref="F10:F32" si="4">D10/SUM(D$10:D$32)</f>
        <v>6.1076577415978959E-5</v>
      </c>
      <c r="G10" s="28">
        <f t="shared" ref="G10:G32" si="5">(J$20+J$23+J$24+J$32)*F10</f>
        <v>5.4694864336248518E-5</v>
      </c>
      <c r="H10" s="27">
        <f t="shared" ref="H10:H32" si="6">F10*(K$20+K$23+K$24+K$32)</f>
        <v>8.857707718393048E-6</v>
      </c>
      <c r="I10" s="3">
        <f t="shared" ref="I10:I32" si="7">E10*(L$20+L$24+L$32)</f>
        <v>3.0214254609312041E-3</v>
      </c>
      <c r="N10" s="27">
        <v>101830733</v>
      </c>
      <c r="O10" s="67">
        <f t="shared" si="0"/>
        <v>5.3711549278790435E-4</v>
      </c>
      <c r="P10" s="67">
        <f t="shared" si="1"/>
        <v>8.6984621021956576E-5</v>
      </c>
      <c r="Q10" s="67">
        <f t="shared" si="2"/>
        <v>2.9671056781366823E-2</v>
      </c>
      <c r="R10" s="64"/>
      <c r="S10" s="64"/>
      <c r="T10" s="64"/>
    </row>
    <row r="11" spans="1:99" s="25" customFormat="1" ht="19" x14ac:dyDescent="0.25">
      <c r="A11" s="25" t="s">
        <v>80</v>
      </c>
      <c r="B11" s="31">
        <v>0</v>
      </c>
      <c r="C11" s="30">
        <v>240532</v>
      </c>
      <c r="D11" s="30">
        <v>12607</v>
      </c>
      <c r="E11" s="29">
        <f t="shared" si="3"/>
        <v>6.9156623089788438E-4</v>
      </c>
      <c r="F11" s="29">
        <f t="shared" si="4"/>
        <v>8.9326265833323301E-4</v>
      </c>
      <c r="G11" s="28">
        <f t="shared" si="5"/>
        <v>7.9992825369731466E-4</v>
      </c>
      <c r="H11" s="27">
        <f t="shared" si="6"/>
        <v>1.2954654432225195E-4</v>
      </c>
      <c r="I11" s="3">
        <f t="shared" si="7"/>
        <v>1.2178580915245137E-3</v>
      </c>
      <c r="N11" s="27">
        <v>14177238</v>
      </c>
      <c r="O11" s="67">
        <f t="shared" si="0"/>
        <v>5.642341997061167E-2</v>
      </c>
      <c r="P11" s="67">
        <f t="shared" si="1"/>
        <v>9.1376433352005487E-3</v>
      </c>
      <c r="Q11" s="67">
        <f t="shared" si="2"/>
        <v>8.5902352173569618E-2</v>
      </c>
      <c r="R11" s="64"/>
      <c r="S11" s="64"/>
      <c r="T11" s="64"/>
    </row>
    <row r="12" spans="1:99" s="25" customFormat="1" ht="19" x14ac:dyDescent="0.25">
      <c r="A12" s="25" t="s">
        <v>79</v>
      </c>
      <c r="B12" s="31">
        <v>0</v>
      </c>
      <c r="C12" s="30">
        <v>2762</v>
      </c>
      <c r="D12" s="25">
        <v>121</v>
      </c>
      <c r="E12" s="29">
        <f t="shared" si="3"/>
        <v>7.9411717764786248E-6</v>
      </c>
      <c r="F12" s="29">
        <f t="shared" si="4"/>
        <v>8.5733942776490198E-6</v>
      </c>
      <c r="G12" s="28">
        <f t="shared" si="5"/>
        <v>7.6775853650650489E-6</v>
      </c>
      <c r="H12" s="27">
        <f t="shared" si="6"/>
        <v>1.2433673247396276E-6</v>
      </c>
      <c r="I12" s="3">
        <f t="shared" si="7"/>
        <v>1.3984517855381849E-5</v>
      </c>
      <c r="N12" s="27">
        <v>108027</v>
      </c>
      <c r="O12" s="67">
        <f t="shared" si="0"/>
        <v>7.1070985633823469E-2</v>
      </c>
      <c r="P12" s="67">
        <f t="shared" si="1"/>
        <v>1.1509782968513682E-2</v>
      </c>
      <c r="Q12" s="67">
        <f t="shared" si="2"/>
        <v>0.1294539129604807</v>
      </c>
      <c r="R12" s="64"/>
      <c r="S12" s="64"/>
      <c r="T12" s="64"/>
    </row>
    <row r="13" spans="1:99" s="25" customFormat="1" ht="19" x14ac:dyDescent="0.25">
      <c r="A13" s="25" t="s">
        <v>78</v>
      </c>
      <c r="B13" s="31">
        <v>0</v>
      </c>
      <c r="C13" s="30">
        <v>449043</v>
      </c>
      <c r="D13" s="30">
        <v>6139</v>
      </c>
      <c r="E13" s="29">
        <f t="shared" si="3"/>
        <v>1.2910671969678825E-3</v>
      </c>
      <c r="F13" s="29">
        <f t="shared" si="4"/>
        <v>4.3497576421890353E-4</v>
      </c>
      <c r="G13" s="28">
        <f t="shared" si="5"/>
        <v>3.8952641781929198E-4</v>
      </c>
      <c r="H13" s="27">
        <f t="shared" si="6"/>
        <v>6.3082909145260936E-5</v>
      </c>
      <c r="I13" s="3">
        <f t="shared" si="7"/>
        <v>2.2735879258994323E-3</v>
      </c>
      <c r="N13" s="27">
        <v>12837289</v>
      </c>
      <c r="O13" s="67">
        <f t="shared" si="0"/>
        <v>3.0343355035420017E-2</v>
      </c>
      <c r="P13" s="67">
        <f t="shared" si="1"/>
        <v>4.9140366899320361E-3</v>
      </c>
      <c r="Q13" s="67">
        <f t="shared" si="2"/>
        <v>0.17710810482644992</v>
      </c>
      <c r="R13" s="64"/>
      <c r="S13" s="64"/>
      <c r="T13" s="64"/>
    </row>
    <row r="14" spans="1:99" s="25" customFormat="1" ht="19" x14ac:dyDescent="0.25">
      <c r="A14" s="25" t="s">
        <v>77</v>
      </c>
      <c r="B14" s="31">
        <v>0</v>
      </c>
      <c r="C14" s="30">
        <v>326867</v>
      </c>
      <c r="D14" s="30">
        <v>7009</v>
      </c>
      <c r="E14" s="29">
        <f t="shared" si="3"/>
        <v>9.3979253984874682E-4</v>
      </c>
      <c r="F14" s="29">
        <f t="shared" si="4"/>
        <v>4.9661917762018159E-4</v>
      </c>
      <c r="G14" s="28">
        <f t="shared" si="5"/>
        <v>4.4472889110529684E-4</v>
      </c>
      <c r="H14" s="27">
        <f t="shared" si="6"/>
        <v>7.2022822967769001E-5</v>
      </c>
      <c r="I14" s="3">
        <f t="shared" si="7"/>
        <v>1.654988196174909E-3</v>
      </c>
      <c r="N14" s="27">
        <v>12335586</v>
      </c>
      <c r="O14" s="67">
        <f t="shared" si="0"/>
        <v>3.6052514335784033E-2</v>
      </c>
      <c r="P14" s="67">
        <f t="shared" si="1"/>
        <v>5.8386219323321165E-3</v>
      </c>
      <c r="Q14" s="67">
        <f t="shared" si="2"/>
        <v>0.13416372729880113</v>
      </c>
      <c r="R14" s="64"/>
      <c r="S14" s="64"/>
      <c r="T14" s="64"/>
    </row>
    <row r="15" spans="1:99" s="25" customFormat="1" ht="19" x14ac:dyDescent="0.25">
      <c r="A15" s="25" t="s">
        <v>76</v>
      </c>
      <c r="B15" s="31">
        <v>0</v>
      </c>
      <c r="C15" s="30">
        <v>69584</v>
      </c>
      <c r="D15" s="25">
        <v>228</v>
      </c>
      <c r="E15" s="29">
        <f t="shared" si="3"/>
        <v>2.0006462595745423E-4</v>
      </c>
      <c r="F15" s="29">
        <f t="shared" si="4"/>
        <v>1.61548255810246E-5</v>
      </c>
      <c r="G15" s="28">
        <f t="shared" si="5"/>
        <v>1.4466855068056455E-5</v>
      </c>
      <c r="H15" s="27">
        <f t="shared" si="6"/>
        <v>2.342873967277976E-6</v>
      </c>
      <c r="I15" s="3">
        <f t="shared" si="7"/>
        <v>3.5231668734572426E-4</v>
      </c>
      <c r="N15" s="27">
        <v>715787</v>
      </c>
      <c r="O15" s="67">
        <f t="shared" si="0"/>
        <v>2.0211117368793309E-2</v>
      </c>
      <c r="P15" s="67">
        <f t="shared" si="1"/>
        <v>3.2731440600038504E-3</v>
      </c>
      <c r="Q15" s="67">
        <f t="shared" si="2"/>
        <v>0.49220883774883345</v>
      </c>
      <c r="R15" s="64"/>
      <c r="S15" s="64"/>
      <c r="T15" s="64"/>
    </row>
    <row r="16" spans="1:99" s="25" customFormat="1" ht="19" x14ac:dyDescent="0.25">
      <c r="A16" s="25" t="s">
        <v>75</v>
      </c>
      <c r="B16" s="31">
        <v>0</v>
      </c>
      <c r="C16" s="30">
        <v>489950</v>
      </c>
      <c r="D16" s="30">
        <v>71452</v>
      </c>
      <c r="E16" s="29">
        <f t="shared" si="3"/>
        <v>1.408681068749349E-3</v>
      </c>
      <c r="F16" s="29">
        <f t="shared" si="4"/>
        <v>5.0626956026989895E-3</v>
      </c>
      <c r="G16" s="28">
        <f t="shared" si="5"/>
        <v>4.5337093347489902E-3</v>
      </c>
      <c r="H16" s="27">
        <f t="shared" si="6"/>
        <v>7.3422381890327168E-4</v>
      </c>
      <c r="I16" s="3">
        <f t="shared" si="7"/>
        <v>2.4807076478075077E-3</v>
      </c>
      <c r="N16" s="27">
        <v>8848360</v>
      </c>
      <c r="O16" s="67">
        <f t="shared" si="0"/>
        <v>0.5123784898838869</v>
      </c>
      <c r="P16" s="67">
        <f t="shared" si="1"/>
        <v>8.2978520189421728E-2</v>
      </c>
      <c r="Q16" s="67">
        <f t="shared" si="2"/>
        <v>0.28035790223357865</v>
      </c>
      <c r="R16" s="64"/>
      <c r="S16" s="64"/>
      <c r="T16" s="64"/>
    </row>
    <row r="17" spans="1:99" s="25" customFormat="1" ht="19" x14ac:dyDescent="0.25">
      <c r="A17" s="25" t="s">
        <v>74</v>
      </c>
      <c r="B17" s="31">
        <v>0</v>
      </c>
      <c r="C17" s="30">
        <v>249792</v>
      </c>
      <c r="D17" s="30">
        <v>77593</v>
      </c>
      <c r="E17" s="29">
        <f t="shared" si="3"/>
        <v>7.1819014496384817E-4</v>
      </c>
      <c r="F17" s="29">
        <f t="shared" si="4"/>
        <v>5.4978130759142175E-3</v>
      </c>
      <c r="G17" s="28">
        <f t="shared" si="5"/>
        <v>4.9233626548057206E-3</v>
      </c>
      <c r="H17" s="27">
        <f t="shared" si="6"/>
        <v>7.9732727957456133E-4</v>
      </c>
      <c r="I17" s="3">
        <f t="shared" si="7"/>
        <v>1.2647431875928829E-3</v>
      </c>
      <c r="N17" s="27">
        <v>20832420</v>
      </c>
      <c r="O17" s="67">
        <f t="shared" si="0"/>
        <v>0.23633176821539317</v>
      </c>
      <c r="P17" s="67">
        <f t="shared" si="1"/>
        <v>3.8273387324879268E-2</v>
      </c>
      <c r="Q17" s="67">
        <f t="shared" si="2"/>
        <v>6.0710334545524852E-2</v>
      </c>
      <c r="R17" s="64"/>
      <c r="S17" s="64"/>
      <c r="T17" s="64"/>
    </row>
    <row r="18" spans="1:99" s="25" customFormat="1" ht="19" x14ac:dyDescent="0.25">
      <c r="A18" s="25" t="s">
        <v>73</v>
      </c>
      <c r="B18" s="31">
        <v>0</v>
      </c>
      <c r="C18" s="30">
        <v>250082</v>
      </c>
      <c r="D18" s="30">
        <v>251681</v>
      </c>
      <c r="E18" s="29">
        <f t="shared" si="3"/>
        <v>7.1902393924885139E-4</v>
      </c>
      <c r="F18" s="29">
        <f t="shared" si="4"/>
        <v>1.7832730952008123E-2</v>
      </c>
      <c r="G18" s="28">
        <f t="shared" si="5"/>
        <v>1.596944101045402E-2</v>
      </c>
      <c r="H18" s="27">
        <f t="shared" si="6"/>
        <v>2.58621431122144E-3</v>
      </c>
      <c r="I18" s="3">
        <f t="shared" si="7"/>
        <v>1.2662115113358449E-3</v>
      </c>
      <c r="N18" s="27">
        <v>9124131</v>
      </c>
      <c r="O18" s="67">
        <f t="shared" si="0"/>
        <v>1.7502424077924814</v>
      </c>
      <c r="P18" s="67">
        <f t="shared" si="1"/>
        <v>0.2834477399789021</v>
      </c>
      <c r="Q18" s="67">
        <f t="shared" si="2"/>
        <v>0.13877612140113341</v>
      </c>
      <c r="R18" s="64"/>
      <c r="S18" s="64"/>
      <c r="T18" s="64"/>
    </row>
    <row r="19" spans="1:99" s="25" customFormat="1" ht="19" x14ac:dyDescent="0.25">
      <c r="A19" s="25" t="s">
        <v>72</v>
      </c>
      <c r="B19" s="32">
        <v>196494195</v>
      </c>
      <c r="C19" s="30">
        <v>34893063</v>
      </c>
      <c r="D19" s="30">
        <v>5210529</v>
      </c>
      <c r="E19" s="29">
        <f t="shared" si="3"/>
        <v>0.66527370118261331</v>
      </c>
      <c r="F19" s="29">
        <f t="shared" si="4"/>
        <v>0.36918941745557243</v>
      </c>
      <c r="G19" s="28">
        <f t="shared" si="5"/>
        <v>0.33061389417063652</v>
      </c>
      <c r="H19" s="27">
        <f t="shared" si="6"/>
        <v>5.354216118353923E-2</v>
      </c>
      <c r="I19" s="3">
        <f t="shared" si="7"/>
        <v>1.1715565680698212</v>
      </c>
      <c r="N19" s="27">
        <v>471268975</v>
      </c>
      <c r="O19" s="67">
        <f t="shared" si="0"/>
        <v>0.70153969751697864</v>
      </c>
      <c r="P19" s="67">
        <f t="shared" si="1"/>
        <v>0.11361274351560958</v>
      </c>
      <c r="Q19" s="67">
        <f t="shared" si="2"/>
        <v>2.4859615850371251</v>
      </c>
      <c r="R19" s="64"/>
      <c r="S19" s="64"/>
      <c r="T19" s="64"/>
    </row>
    <row r="20" spans="1:99" s="25" customFormat="1" ht="19" x14ac:dyDescent="0.25">
      <c r="A20" s="25" t="s">
        <v>71</v>
      </c>
      <c r="B20" s="32">
        <v>62287189</v>
      </c>
      <c r="C20" s="30">
        <v>23822942</v>
      </c>
      <c r="D20" s="30">
        <v>6303780</v>
      </c>
      <c r="E20" s="29">
        <f t="shared" si="3"/>
        <v>0.24757977623681285</v>
      </c>
      <c r="F20" s="29">
        <f t="shared" si="4"/>
        <v>0.44665116842610197</v>
      </c>
      <c r="G20" s="28">
        <f t="shared" si="5"/>
        <v>0.3999818931618988</v>
      </c>
      <c r="H20" s="27">
        <f t="shared" si="6"/>
        <v>6.4776149374769998E-2</v>
      </c>
      <c r="I20" s="3">
        <f t="shared" si="7"/>
        <v>0.43599155123054673</v>
      </c>
      <c r="J20" s="50">
        <v>0.6361464</v>
      </c>
      <c r="K20" s="50">
        <v>3.4807789999999998E-2</v>
      </c>
      <c r="L20" s="50">
        <v>0.55940500000000004</v>
      </c>
      <c r="M20" s="26">
        <f t="shared" ref="M20:M45" si="8">SUM(J20:L20)</f>
        <v>1.2303591900000002</v>
      </c>
      <c r="N20" s="27">
        <v>231087947</v>
      </c>
      <c r="O20" s="67">
        <f t="shared" si="0"/>
        <v>1.7308643672441246</v>
      </c>
      <c r="P20" s="67">
        <f t="shared" si="1"/>
        <v>0.28030951079750599</v>
      </c>
      <c r="Q20" s="67">
        <f t="shared" si="2"/>
        <v>1.886691006132599</v>
      </c>
      <c r="R20" s="64"/>
      <c r="S20" s="64"/>
      <c r="T20" s="64"/>
    </row>
    <row r="21" spans="1:99" s="25" customFormat="1" ht="19" x14ac:dyDescent="0.25">
      <c r="A21" s="25" t="s">
        <v>70</v>
      </c>
      <c r="B21" s="31">
        <v>247</v>
      </c>
      <c r="C21" s="30">
        <v>260617</v>
      </c>
      <c r="D21" s="30">
        <v>11859</v>
      </c>
      <c r="E21" s="29">
        <f t="shared" si="3"/>
        <v>7.5002383573472844E-4</v>
      </c>
      <c r="F21" s="29">
        <f t="shared" si="4"/>
        <v>8.4026349370776624E-4</v>
      </c>
      <c r="G21" s="28">
        <f t="shared" si="5"/>
        <v>7.5246681689509424E-4</v>
      </c>
      <c r="H21" s="27">
        <f t="shared" si="6"/>
        <v>1.2186027358749787E-4</v>
      </c>
      <c r="I21" s="3">
        <f t="shared" si="7"/>
        <v>1.3208027754621036E-3</v>
      </c>
      <c r="M21" s="26">
        <f t="shared" si="8"/>
        <v>0</v>
      </c>
      <c r="N21" s="27">
        <v>5919156</v>
      </c>
      <c r="O21" s="67">
        <f t="shared" si="0"/>
        <v>0.12712400499245066</v>
      </c>
      <c r="P21" s="67">
        <f t="shared" si="1"/>
        <v>2.0587440774917549E-2</v>
      </c>
      <c r="Q21" s="67">
        <f t="shared" si="2"/>
        <v>0.22314038951872592</v>
      </c>
      <c r="R21" s="64"/>
      <c r="S21" s="64"/>
      <c r="T21" s="64"/>
    </row>
    <row r="22" spans="1:99" s="25" customFormat="1" ht="19" x14ac:dyDescent="0.25">
      <c r="A22" s="25" t="s">
        <v>69</v>
      </c>
      <c r="B22" s="32">
        <v>1125</v>
      </c>
      <c r="C22" s="30">
        <v>4265132</v>
      </c>
      <c r="D22" s="30">
        <v>33249</v>
      </c>
      <c r="E22" s="29">
        <f t="shared" si="3"/>
        <v>1.2266140361913239E-2</v>
      </c>
      <c r="F22" s="29">
        <f t="shared" si="4"/>
        <v>2.3558412094012581E-3</v>
      </c>
      <c r="G22" s="28">
        <f t="shared" si="5"/>
        <v>2.1096862463061798E-3</v>
      </c>
      <c r="H22" s="27">
        <f t="shared" si="6"/>
        <v>3.4165884446502373E-4</v>
      </c>
      <c r="I22" s="3">
        <f t="shared" si="7"/>
        <v>2.1600849816128816E-2</v>
      </c>
      <c r="M22" s="26">
        <f t="shared" si="8"/>
        <v>0</v>
      </c>
      <c r="N22" s="27">
        <v>22421928</v>
      </c>
      <c r="O22" s="67">
        <f t="shared" si="0"/>
        <v>9.4090314013414902E-2</v>
      </c>
      <c r="P22" s="67">
        <f t="shared" si="1"/>
        <v>1.5237710355016025E-2</v>
      </c>
      <c r="Q22" s="67">
        <f t="shared" si="2"/>
        <v>0.96338057173891634</v>
      </c>
      <c r="R22" s="64"/>
      <c r="S22" s="64"/>
      <c r="T22" s="64"/>
    </row>
    <row r="23" spans="1:99" s="25" customFormat="1" ht="19" x14ac:dyDescent="0.25">
      <c r="A23" s="25" t="s">
        <v>68</v>
      </c>
      <c r="B23" s="32">
        <v>268614</v>
      </c>
      <c r="C23" s="30">
        <v>7674414</v>
      </c>
      <c r="D23" s="30">
        <v>1158420</v>
      </c>
      <c r="E23" s="29">
        <f t="shared" si="3"/>
        <v>2.283741845524238E-2</v>
      </c>
      <c r="F23" s="29">
        <f t="shared" si="4"/>
        <v>8.2079267761274194E-2</v>
      </c>
      <c r="G23" s="28">
        <f t="shared" si="5"/>
        <v>7.3503044947096308E-2</v>
      </c>
      <c r="H23" s="27">
        <f t="shared" si="6"/>
        <v>1.1903649391114705E-2</v>
      </c>
      <c r="I23" s="3">
        <f t="shared" si="7"/>
        <v>4.021702277038304E-2</v>
      </c>
      <c r="J23" s="25">
        <v>6.2458300000000001E-2</v>
      </c>
      <c r="K23" s="25">
        <v>2.3485599999999999E-2</v>
      </c>
      <c r="L23" s="25" t="s">
        <v>67</v>
      </c>
      <c r="M23" s="26">
        <f t="shared" si="8"/>
        <v>8.5943900000000004E-2</v>
      </c>
      <c r="N23" s="27">
        <v>45487293</v>
      </c>
      <c r="O23" s="67">
        <f t="shared" si="0"/>
        <v>1.6159028181144195</v>
      </c>
      <c r="P23" s="67">
        <f t="shared" si="1"/>
        <v>0.26169175182868554</v>
      </c>
      <c r="Q23" s="67">
        <f t="shared" si="2"/>
        <v>0.88413752760321529</v>
      </c>
      <c r="R23" s="64"/>
      <c r="S23" s="64"/>
      <c r="T23" s="64"/>
    </row>
    <row r="24" spans="1:99" s="25" customFormat="1" ht="19" x14ac:dyDescent="0.25">
      <c r="A24" s="25" t="s">
        <v>66</v>
      </c>
      <c r="B24" s="32">
        <v>12368</v>
      </c>
      <c r="C24" s="30">
        <v>9799304</v>
      </c>
      <c r="D24" s="30">
        <v>338036</v>
      </c>
      <c r="E24" s="29">
        <f t="shared" si="3"/>
        <v>2.8210055310088914E-2</v>
      </c>
      <c r="F24" s="29">
        <f t="shared" si="4"/>
        <v>2.3951371140821191E-2</v>
      </c>
      <c r="G24" s="28">
        <f t="shared" si="5"/>
        <v>2.1448762367480403E-2</v>
      </c>
      <c r="H24" s="27">
        <f t="shared" si="6"/>
        <v>3.4735778263279733E-3</v>
      </c>
      <c r="I24" s="3">
        <f t="shared" si="7"/>
        <v>4.9678313640532268E-2</v>
      </c>
      <c r="J24" s="25">
        <v>7.715729247E-2</v>
      </c>
      <c r="K24" s="25">
        <v>4.6601082000000002E-2</v>
      </c>
      <c r="L24" s="25">
        <v>9.1770052000000001E-4</v>
      </c>
      <c r="M24" s="26">
        <f t="shared" si="8"/>
        <v>0.12467607499</v>
      </c>
      <c r="N24" s="27">
        <v>38837023</v>
      </c>
      <c r="O24" s="67">
        <f t="shared" si="0"/>
        <v>0.5522761713090214</v>
      </c>
      <c r="P24" s="67">
        <f t="shared" si="1"/>
        <v>8.9439858104674336E-2</v>
      </c>
      <c r="Q24" s="67">
        <f t="shared" si="2"/>
        <v>1.2791483435929749</v>
      </c>
      <c r="R24" s="64"/>
      <c r="S24" s="64"/>
      <c r="T24" s="64"/>
    </row>
    <row r="25" spans="1:99" s="25" customFormat="1" ht="19" x14ac:dyDescent="0.25">
      <c r="A25" s="25" t="s">
        <v>65</v>
      </c>
      <c r="B25" s="32">
        <v>5292</v>
      </c>
      <c r="C25" s="30">
        <v>2354510</v>
      </c>
      <c r="D25" s="30">
        <v>213926</v>
      </c>
      <c r="E25" s="29">
        <f t="shared" si="3"/>
        <v>6.7847911080658263E-3</v>
      </c>
      <c r="F25" s="29">
        <f t="shared" si="4"/>
        <v>1.5157619373887142E-2</v>
      </c>
      <c r="G25" s="28">
        <f t="shared" si="5"/>
        <v>1.3573844023197567E-2</v>
      </c>
      <c r="H25" s="27">
        <f t="shared" si="6"/>
        <v>2.1982528786136327E-3</v>
      </c>
      <c r="I25" s="3">
        <f t="shared" si="7"/>
        <v>1.1948114845823967E-2</v>
      </c>
      <c r="M25" s="26">
        <f t="shared" si="8"/>
        <v>0</v>
      </c>
      <c r="N25" s="27">
        <v>35999930</v>
      </c>
      <c r="O25" s="67">
        <f t="shared" si="0"/>
        <v>0.37705195602318026</v>
      </c>
      <c r="P25" s="67">
        <f t="shared" si="1"/>
        <v>6.1062698694515034E-2</v>
      </c>
      <c r="Q25" s="67">
        <f t="shared" si="2"/>
        <v>0.3318927243976299</v>
      </c>
      <c r="R25" s="64"/>
      <c r="S25" s="64"/>
      <c r="T25" s="64"/>
    </row>
    <row r="26" spans="1:99" s="25" customFormat="1" ht="19" x14ac:dyDescent="0.25">
      <c r="A26" s="25" t="s">
        <v>64</v>
      </c>
      <c r="B26" s="31">
        <v>0</v>
      </c>
      <c r="C26" s="30">
        <v>88988</v>
      </c>
      <c r="D26" s="30">
        <v>2226</v>
      </c>
      <c r="E26" s="29">
        <f t="shared" si="3"/>
        <v>2.5585408908228817E-4</v>
      </c>
      <c r="F26" s="29">
        <f t="shared" si="4"/>
        <v>1.5772211290947699E-4</v>
      </c>
      <c r="G26" s="28">
        <f t="shared" si="5"/>
        <v>1.4124219026970906E-4</v>
      </c>
      <c r="H26" s="27">
        <f t="shared" si="6"/>
        <v>2.2873848470003396E-5</v>
      </c>
      <c r="I26" s="3">
        <f t="shared" si="7"/>
        <v>4.5056273530583635E-4</v>
      </c>
      <c r="M26" s="26">
        <f t="shared" si="8"/>
        <v>0</v>
      </c>
      <c r="N26" s="27">
        <v>1088682</v>
      </c>
      <c r="O26" s="67">
        <f t="shared" si="0"/>
        <v>0.12973686555827049</v>
      </c>
      <c r="P26" s="67">
        <f t="shared" si="1"/>
        <v>2.1010587545310197E-2</v>
      </c>
      <c r="Q26" s="67">
        <f t="shared" si="2"/>
        <v>0.4138607373924032</v>
      </c>
      <c r="R26" s="64"/>
      <c r="S26" s="64"/>
      <c r="T26" s="64"/>
    </row>
    <row r="27" spans="1:99" s="25" customFormat="1" ht="19" x14ac:dyDescent="0.25">
      <c r="A27" s="25" t="s">
        <v>63</v>
      </c>
      <c r="B27" s="31">
        <v>0</v>
      </c>
      <c r="C27" s="30">
        <v>1296034</v>
      </c>
      <c r="D27" s="30">
        <v>212797</v>
      </c>
      <c r="E27" s="29">
        <f t="shared" si="3"/>
        <v>3.7262956633442065E-3</v>
      </c>
      <c r="F27" s="29">
        <f t="shared" si="4"/>
        <v>1.5077624645461805E-2</v>
      </c>
      <c r="G27" s="28">
        <f t="shared" si="5"/>
        <v>1.35022077101632E-2</v>
      </c>
      <c r="H27" s="27">
        <f t="shared" si="6"/>
        <v>2.186651542170401E-3</v>
      </c>
      <c r="I27" s="3">
        <f t="shared" si="7"/>
        <v>6.5620603237443731E-3</v>
      </c>
      <c r="M27" s="26">
        <f t="shared" si="8"/>
        <v>0</v>
      </c>
      <c r="N27" s="27">
        <v>28667400</v>
      </c>
      <c r="O27" s="67">
        <f t="shared" si="0"/>
        <v>0.47099519698902581</v>
      </c>
      <c r="P27" s="67">
        <f t="shared" si="1"/>
        <v>7.6276590907107061E-2</v>
      </c>
      <c r="Q27" s="67">
        <f t="shared" si="2"/>
        <v>0.22890322539694472</v>
      </c>
      <c r="R27" s="64"/>
      <c r="S27" s="64"/>
      <c r="T27" s="64"/>
    </row>
    <row r="28" spans="1:99" s="25" customFormat="1" ht="19" x14ac:dyDescent="0.25">
      <c r="A28" s="25" t="s">
        <v>62</v>
      </c>
      <c r="B28" s="31">
        <v>0</v>
      </c>
      <c r="C28" s="30">
        <v>586693</v>
      </c>
      <c r="D28" s="30">
        <v>150594</v>
      </c>
      <c r="E28" s="29">
        <f t="shared" si="3"/>
        <v>1.6868319670737052E-3</v>
      </c>
      <c r="F28" s="29">
        <f t="shared" si="4"/>
        <v>1.0670262296266747E-2</v>
      </c>
      <c r="G28" s="28">
        <f t="shared" si="5"/>
        <v>9.5553577724512874E-3</v>
      </c>
      <c r="H28" s="27">
        <f t="shared" si="6"/>
        <v>1.5474682553871032E-3</v>
      </c>
      <c r="I28" s="3">
        <f t="shared" si="7"/>
        <v>2.9705353852742733E-3</v>
      </c>
      <c r="M28" s="26">
        <f t="shared" si="8"/>
        <v>0</v>
      </c>
      <c r="N28" s="27">
        <v>14545994</v>
      </c>
      <c r="O28" s="67">
        <f t="shared" si="0"/>
        <v>0.65690648383680672</v>
      </c>
      <c r="P28" s="67">
        <f t="shared" si="1"/>
        <v>0.10638449702283001</v>
      </c>
      <c r="Q28" s="67">
        <f t="shared" si="2"/>
        <v>0.20421673384948963</v>
      </c>
      <c r="R28" s="64"/>
      <c r="S28" s="64"/>
      <c r="T28" s="64"/>
    </row>
    <row r="29" spans="1:99" s="25" customFormat="1" ht="19" x14ac:dyDescent="0.25">
      <c r="A29" s="25" t="s">
        <v>61</v>
      </c>
      <c r="B29" s="31">
        <v>0</v>
      </c>
      <c r="C29" s="30">
        <v>223170</v>
      </c>
      <c r="D29" s="30">
        <v>13503</v>
      </c>
      <c r="E29" s="29">
        <f t="shared" si="3"/>
        <v>6.4164782960055564E-4</v>
      </c>
      <c r="F29" s="29">
        <f t="shared" si="4"/>
        <v>9.5674828868673315E-4</v>
      </c>
      <c r="G29" s="28">
        <f t="shared" si="5"/>
        <v>8.5678045607002768E-4</v>
      </c>
      <c r="H29" s="27">
        <f t="shared" si="6"/>
        <v>1.3875362798313381E-4</v>
      </c>
      <c r="I29" s="3">
        <f t="shared" si="7"/>
        <v>1.1299510679889815E-3</v>
      </c>
      <c r="M29" s="26">
        <f t="shared" si="8"/>
        <v>0</v>
      </c>
      <c r="N29" s="27">
        <v>6195589</v>
      </c>
      <c r="O29" s="67">
        <f t="shared" si="0"/>
        <v>0.13828878191726851</v>
      </c>
      <c r="P29" s="67">
        <f t="shared" si="1"/>
        <v>2.2395550767349774E-2</v>
      </c>
      <c r="Q29" s="67">
        <f t="shared" si="2"/>
        <v>0.18237992674933431</v>
      </c>
      <c r="R29" s="64"/>
      <c r="S29" s="64"/>
      <c r="T29" s="64"/>
    </row>
    <row r="30" spans="1:99" s="25" customFormat="1" ht="19" x14ac:dyDescent="0.25">
      <c r="A30" s="25" t="s">
        <v>60</v>
      </c>
      <c r="B30" s="31">
        <v>0</v>
      </c>
      <c r="C30" s="30">
        <v>95005</v>
      </c>
      <c r="D30" s="30">
        <v>8561</v>
      </c>
      <c r="E30" s="29">
        <f t="shared" si="3"/>
        <v>2.7315388291975081E-4</v>
      </c>
      <c r="F30" s="29">
        <f t="shared" si="4"/>
        <v>6.065853587682087E-4</v>
      </c>
      <c r="G30" s="28">
        <f t="shared" si="5"/>
        <v>5.4320502735803202E-4</v>
      </c>
      <c r="H30" s="27">
        <f t="shared" si="6"/>
        <v>8.7970807166082236E-5</v>
      </c>
      <c r="I30" s="3">
        <f t="shared" si="7"/>
        <v>4.8102792137963521E-4</v>
      </c>
      <c r="M30" s="26">
        <f t="shared" si="8"/>
        <v>0</v>
      </c>
      <c r="N30" s="27">
        <v>2761872</v>
      </c>
      <c r="O30" s="67">
        <f t="shared" si="0"/>
        <v>0.1966800153511937</v>
      </c>
      <c r="P30" s="67">
        <f t="shared" si="1"/>
        <v>3.1851876975501486E-2</v>
      </c>
      <c r="Q30" s="67">
        <f t="shared" si="2"/>
        <v>0.17416734786392535</v>
      </c>
      <c r="R30" s="64"/>
      <c r="S30" s="64"/>
      <c r="T30" s="64"/>
    </row>
    <row r="31" spans="1:99" s="25" customFormat="1" ht="19" x14ac:dyDescent="0.25">
      <c r="A31" s="25" t="s">
        <v>59</v>
      </c>
      <c r="B31" s="31">
        <v>0</v>
      </c>
      <c r="C31" s="30">
        <v>440664</v>
      </c>
      <c r="D31" s="30">
        <v>16927</v>
      </c>
      <c r="E31" s="29">
        <f t="shared" si="3"/>
        <v>1.2669762924367041E-3</v>
      </c>
      <c r="F31" s="29">
        <f t="shared" si="4"/>
        <v>1.1993540903947517E-3</v>
      </c>
      <c r="G31" s="28">
        <f t="shared" si="5"/>
        <v>1.0740370865657527E-3</v>
      </c>
      <c r="H31" s="27">
        <f t="shared" si="6"/>
        <v>1.7393784054436096E-4</v>
      </c>
      <c r="I31" s="3">
        <f t="shared" si="7"/>
        <v>2.2311634960984748E-3</v>
      </c>
      <c r="M31" s="26">
        <f t="shared" si="8"/>
        <v>0</v>
      </c>
      <c r="N31" s="27">
        <v>17036334</v>
      </c>
      <c r="O31" s="67">
        <f t="shared" si="0"/>
        <v>6.3043908775547178E-2</v>
      </c>
      <c r="P31" s="67">
        <f t="shared" si="1"/>
        <v>1.0209816298762454E-2</v>
      </c>
      <c r="Q31" s="67">
        <f t="shared" si="2"/>
        <v>0.13096500080935691</v>
      </c>
      <c r="R31" s="64"/>
      <c r="S31" s="64"/>
      <c r="T31" s="64"/>
    </row>
    <row r="32" spans="1:99" s="25" customFormat="1" ht="19" x14ac:dyDescent="0.25">
      <c r="A32" s="25" t="s">
        <v>58</v>
      </c>
      <c r="B32" s="31">
        <v>0</v>
      </c>
      <c r="C32" s="30">
        <v>262691</v>
      </c>
      <c r="D32" s="30">
        <v>11331</v>
      </c>
      <c r="E32" s="29">
        <f t="shared" si="3"/>
        <v>7.5527673973024856E-4</v>
      </c>
      <c r="F32" s="29">
        <f t="shared" si="4"/>
        <v>8.0285231867802511E-4</v>
      </c>
      <c r="G32" s="28">
        <f t="shared" si="5"/>
        <v>7.1896462621117406E-4</v>
      </c>
      <c r="H32" s="27">
        <f t="shared" si="6"/>
        <v>1.1643467071590678E-4</v>
      </c>
      <c r="I32" s="3">
        <f t="shared" si="7"/>
        <v>1.3300532150427636E-3</v>
      </c>
      <c r="J32" s="51">
        <v>0.11975093000000001</v>
      </c>
      <c r="K32" s="25">
        <v>4.0131790000000001E-2</v>
      </c>
      <c r="L32" s="58">
        <v>1.2006916999999999</v>
      </c>
      <c r="M32" s="26">
        <f t="shared" si="8"/>
        <v>1.3605744199999998</v>
      </c>
      <c r="N32" s="27">
        <v>5900055</v>
      </c>
      <c r="O32" s="67">
        <f t="shared" si="0"/>
        <v>0.12185727526458211</v>
      </c>
      <c r="P32" s="67">
        <f t="shared" si="1"/>
        <v>1.9734505986114838E-2</v>
      </c>
      <c r="Q32" s="67">
        <f t="shared" si="2"/>
        <v>0.22543064684020125</v>
      </c>
      <c r="R32" s="64"/>
      <c r="S32" s="64"/>
      <c r="T32" s="64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</row>
    <row r="33" spans="1:99" s="18" customFormat="1" ht="19" x14ac:dyDescent="0.25">
      <c r="A33" s="18" t="s">
        <v>57</v>
      </c>
      <c r="B33" s="24">
        <v>0</v>
      </c>
      <c r="C33" s="20">
        <v>844303</v>
      </c>
      <c r="D33" s="20">
        <v>104112</v>
      </c>
      <c r="E33" s="18">
        <f>(C33+B33)/SUM(B$33:C$34)</f>
        <v>2.5763933934587303E-2</v>
      </c>
      <c r="F33" s="18">
        <f>(D33)/SUM(D$33:D$34)</f>
        <v>1.0871481116085265E-2</v>
      </c>
      <c r="G33" s="21">
        <f>J$34*F33</f>
        <v>0</v>
      </c>
      <c r="H33" s="20">
        <f>F33*K$34</f>
        <v>9.9665933853879084E-3</v>
      </c>
      <c r="I33" s="3">
        <f>E33*(L$34)</f>
        <v>8.4245021245502798E-4</v>
      </c>
      <c r="M33" s="19">
        <f t="shared" si="8"/>
        <v>0</v>
      </c>
      <c r="N33" s="61">
        <v>9853860</v>
      </c>
      <c r="O33" s="67">
        <f t="shared" si="0"/>
        <v>0</v>
      </c>
      <c r="P33" s="67">
        <f t="shared" si="1"/>
        <v>1.0114405304507987</v>
      </c>
      <c r="Q33" s="67">
        <f t="shared" si="2"/>
        <v>8.5494436947046934E-2</v>
      </c>
      <c r="R33" s="64"/>
      <c r="S33" s="64"/>
      <c r="T33" s="64"/>
    </row>
    <row r="34" spans="1:99" s="18" customFormat="1" ht="19" x14ac:dyDescent="0.25">
      <c r="A34" s="23" t="s">
        <v>56</v>
      </c>
      <c r="B34" s="22">
        <v>10676772</v>
      </c>
      <c r="C34" s="20">
        <v>21249658</v>
      </c>
      <c r="D34" s="20">
        <v>9472504</v>
      </c>
      <c r="E34" s="18">
        <f>(C34+B34)/SUM(B$33:C$34)</f>
        <v>0.97423606606541269</v>
      </c>
      <c r="F34" s="18">
        <f>(D34)/SUM(D$33:D$34)</f>
        <v>0.98912851888391473</v>
      </c>
      <c r="G34" s="21">
        <f>J$34*F34</f>
        <v>0</v>
      </c>
      <c r="H34" s="20">
        <f>F34*K$34</f>
        <v>0.90679840661461208</v>
      </c>
      <c r="I34" s="3">
        <f>E34*(L$34)</f>
        <v>3.185636878754497E-2</v>
      </c>
      <c r="J34" s="23">
        <v>0</v>
      </c>
      <c r="K34" s="18">
        <v>0.91676500000000005</v>
      </c>
      <c r="L34" s="23">
        <v>3.2698818999999997E-2</v>
      </c>
      <c r="M34" s="19">
        <f t="shared" si="8"/>
        <v>0.9494638190000001</v>
      </c>
      <c r="N34" s="61">
        <v>87637582</v>
      </c>
      <c r="O34" s="67">
        <f t="shared" si="0"/>
        <v>0</v>
      </c>
      <c r="P34" s="67">
        <f t="shared" si="1"/>
        <v>10.34714087176221</v>
      </c>
      <c r="Q34" s="67">
        <f t="shared" si="2"/>
        <v>0.36350122927336093</v>
      </c>
      <c r="R34" s="64"/>
      <c r="S34" s="64"/>
      <c r="T34" s="64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</row>
    <row r="35" spans="1:99" s="12" customFormat="1" ht="19" x14ac:dyDescent="0.25">
      <c r="A35" s="12" t="s">
        <v>55</v>
      </c>
      <c r="B35" s="16">
        <v>29377</v>
      </c>
      <c r="C35" s="14">
        <v>6992190</v>
      </c>
      <c r="D35" s="14">
        <v>2937448</v>
      </c>
      <c r="E35" s="12">
        <f t="shared" ref="E35:E41" si="9">(B35+C35)/SUM(B$35:C$41)</f>
        <v>0.17997536066882169</v>
      </c>
      <c r="F35" s="12">
        <f t="shared" ref="F35:F41" si="10">D35/SUM(D$35:D$41)</f>
        <v>0.89929383901635873</v>
      </c>
      <c r="G35" s="15">
        <f t="shared" ref="G35:G41" si="11">J$35*F35</f>
        <v>0</v>
      </c>
      <c r="H35" s="14">
        <f t="shared" ref="H35:H41" si="12">F35*K$35</f>
        <v>3.4355560659050928E-3</v>
      </c>
      <c r="I35" s="3">
        <f t="shared" ref="I35:I41" si="13">E35*(L$39)</f>
        <v>3.1537314618212887E-2</v>
      </c>
      <c r="J35" s="52">
        <v>0</v>
      </c>
      <c r="K35" s="12">
        <v>3.8202819999999999E-3</v>
      </c>
      <c r="L35" s="52" t="s">
        <v>0</v>
      </c>
      <c r="M35" s="13">
        <f t="shared" si="8"/>
        <v>3.8202819999999999E-3</v>
      </c>
      <c r="N35" s="62">
        <v>20347659</v>
      </c>
      <c r="O35" s="67">
        <f t="shared" si="0"/>
        <v>0</v>
      </c>
      <c r="P35" s="67">
        <f t="shared" si="1"/>
        <v>0.16884281704863899</v>
      </c>
      <c r="Q35" s="67">
        <f t="shared" si="2"/>
        <v>1.5499234884078257</v>
      </c>
      <c r="R35" s="64"/>
      <c r="S35" s="64"/>
      <c r="T35" s="64"/>
    </row>
    <row r="36" spans="1:99" s="12" customFormat="1" ht="19" x14ac:dyDescent="0.25">
      <c r="A36" s="12" t="s">
        <v>54</v>
      </c>
      <c r="B36" s="17">
        <v>0</v>
      </c>
      <c r="C36" s="14">
        <v>639130</v>
      </c>
      <c r="D36" s="14">
        <v>1354</v>
      </c>
      <c r="E36" s="12">
        <f t="shared" si="9"/>
        <v>1.6382048660115899E-2</v>
      </c>
      <c r="F36" s="12">
        <f t="shared" si="10"/>
        <v>4.1452439601591233E-4</v>
      </c>
      <c r="G36" s="15">
        <f t="shared" si="11"/>
        <v>0</v>
      </c>
      <c r="H36" s="14">
        <f t="shared" si="12"/>
        <v>1.5836000886604615E-6</v>
      </c>
      <c r="I36" s="3">
        <f t="shared" si="13"/>
        <v>2.8706475195548809E-3</v>
      </c>
      <c r="M36" s="13">
        <f t="shared" si="8"/>
        <v>0</v>
      </c>
      <c r="N36" s="62">
        <v>2429301</v>
      </c>
      <c r="O36" s="67">
        <f t="shared" si="0"/>
        <v>0</v>
      </c>
      <c r="P36" s="67">
        <f t="shared" si="1"/>
        <v>6.518747938853446E-4</v>
      </c>
      <c r="Q36" s="67">
        <f t="shared" si="2"/>
        <v>1.1816763421061782</v>
      </c>
      <c r="R36" s="64"/>
      <c r="S36" s="64"/>
      <c r="T36" s="64"/>
    </row>
    <row r="37" spans="1:99" s="12" customFormat="1" ht="19" x14ac:dyDescent="0.25">
      <c r="A37" s="12" t="s">
        <v>53</v>
      </c>
      <c r="B37" s="17">
        <v>0</v>
      </c>
      <c r="C37" s="14">
        <v>62085</v>
      </c>
      <c r="D37" s="14">
        <v>8014</v>
      </c>
      <c r="E37" s="12">
        <f t="shared" si="9"/>
        <v>1.5913499461194054E-3</v>
      </c>
      <c r="F37" s="12">
        <f t="shared" si="10"/>
        <v>2.4534700957692182E-3</v>
      </c>
      <c r="G37" s="15">
        <f t="shared" si="11"/>
        <v>0</v>
      </c>
      <c r="H37" s="14">
        <f t="shared" si="12"/>
        <v>9.3729476444054206E-6</v>
      </c>
      <c r="I37" s="3">
        <f t="shared" si="13"/>
        <v>2.788543038999339E-4</v>
      </c>
      <c r="M37" s="13">
        <f t="shared" si="8"/>
        <v>0</v>
      </c>
      <c r="N37" s="62">
        <v>2499078</v>
      </c>
      <c r="O37" s="67">
        <f t="shared" si="0"/>
        <v>0</v>
      </c>
      <c r="P37" s="67">
        <f t="shared" si="1"/>
        <v>3.7505622651255468E-3</v>
      </c>
      <c r="Q37" s="67">
        <f t="shared" si="2"/>
        <v>0.11158287332365532</v>
      </c>
      <c r="R37" s="64"/>
      <c r="S37" s="64"/>
      <c r="T37" s="64"/>
    </row>
    <row r="38" spans="1:99" s="12" customFormat="1" ht="19" x14ac:dyDescent="0.25">
      <c r="A38" s="12" t="s">
        <v>52</v>
      </c>
      <c r="B38" s="17">
        <v>0</v>
      </c>
      <c r="C38" s="14">
        <v>3123</v>
      </c>
      <c r="D38" s="12">
        <v>282</v>
      </c>
      <c r="E38" s="12">
        <f t="shared" si="9"/>
        <v>8.0048093448190433E-5</v>
      </c>
      <c r="F38" s="12">
        <f t="shared" si="10"/>
        <v>8.6333736836401249E-5</v>
      </c>
      <c r="G38" s="15">
        <f t="shared" si="11"/>
        <v>0</v>
      </c>
      <c r="H38" s="14">
        <f t="shared" si="12"/>
        <v>3.2981922082884064E-7</v>
      </c>
      <c r="I38" s="3">
        <f t="shared" si="13"/>
        <v>1.4026930676966958E-5</v>
      </c>
      <c r="M38" s="13">
        <f t="shared" si="8"/>
        <v>0</v>
      </c>
      <c r="N38" s="62">
        <v>66599</v>
      </c>
      <c r="O38" s="67">
        <f t="shared" si="0"/>
        <v>0</v>
      </c>
      <c r="P38" s="67">
        <f t="shared" si="1"/>
        <v>4.9523149120683594E-3</v>
      </c>
      <c r="Q38" s="67">
        <f t="shared" si="2"/>
        <v>0.21061773715771945</v>
      </c>
      <c r="R38" s="64"/>
      <c r="S38" s="64"/>
      <c r="T38" s="64"/>
    </row>
    <row r="39" spans="1:99" s="12" customFormat="1" ht="19" x14ac:dyDescent="0.25">
      <c r="A39" s="12" t="s">
        <v>51</v>
      </c>
      <c r="B39" s="16">
        <v>130848</v>
      </c>
      <c r="C39" s="14">
        <v>10779319</v>
      </c>
      <c r="D39" s="14">
        <v>78103</v>
      </c>
      <c r="E39" s="12">
        <f t="shared" si="9"/>
        <v>0.27964715579614585</v>
      </c>
      <c r="F39" s="12">
        <f t="shared" si="10"/>
        <v>2.3911077475650518E-2</v>
      </c>
      <c r="G39" s="15">
        <f t="shared" si="11"/>
        <v>0</v>
      </c>
      <c r="H39" s="14">
        <f t="shared" si="12"/>
        <v>9.1347058880833116E-5</v>
      </c>
      <c r="I39" s="3">
        <f t="shared" si="13"/>
        <v>4.900293185498962E-2</v>
      </c>
      <c r="J39" s="52">
        <v>0</v>
      </c>
      <c r="K39" s="52" t="s">
        <v>0</v>
      </c>
      <c r="L39" s="12">
        <v>0.17523129000000001</v>
      </c>
      <c r="M39" s="13">
        <f t="shared" si="8"/>
        <v>0.17523129000000001</v>
      </c>
      <c r="N39" s="62">
        <v>241243474</v>
      </c>
      <c r="O39" s="67">
        <f t="shared" si="0"/>
        <v>0</v>
      </c>
      <c r="P39" s="67">
        <f t="shared" si="1"/>
        <v>3.7865090137457195E-4</v>
      </c>
      <c r="Q39" s="67">
        <f t="shared" si="2"/>
        <v>0.20312645578545108</v>
      </c>
      <c r="R39" s="64"/>
      <c r="S39" s="64"/>
      <c r="T39" s="64"/>
    </row>
    <row r="40" spans="1:99" s="12" customFormat="1" ht="19" x14ac:dyDescent="0.25">
      <c r="A40" s="12" t="s">
        <v>50</v>
      </c>
      <c r="B40" s="16">
        <v>47243</v>
      </c>
      <c r="C40" s="14">
        <v>15251211</v>
      </c>
      <c r="D40" s="14">
        <v>28401</v>
      </c>
      <c r="E40" s="12">
        <f t="shared" si="9"/>
        <v>0.39212682529774018</v>
      </c>
      <c r="F40" s="12">
        <f t="shared" si="10"/>
        <v>8.6949094322362822E-3</v>
      </c>
      <c r="G40" s="15">
        <f t="shared" si="11"/>
        <v>0</v>
      </c>
      <c r="H40" s="14">
        <f t="shared" si="12"/>
        <v>3.321700599560249E-5</v>
      </c>
      <c r="I40" s="3">
        <f t="shared" si="13"/>
        <v>6.8712889440527655E-2</v>
      </c>
      <c r="M40" s="13">
        <f t="shared" si="8"/>
        <v>0</v>
      </c>
      <c r="N40" s="62">
        <v>56912676</v>
      </c>
      <c r="O40" s="67">
        <f t="shared" si="0"/>
        <v>0</v>
      </c>
      <c r="P40" s="67">
        <f t="shared" si="1"/>
        <v>5.8364864086873176E-4</v>
      </c>
      <c r="Q40" s="67">
        <f t="shared" si="2"/>
        <v>1.2073389316736338</v>
      </c>
      <c r="R40" s="64"/>
      <c r="S40" s="64"/>
      <c r="T40" s="64"/>
    </row>
    <row r="41" spans="1:99" s="12" customFormat="1" ht="19" x14ac:dyDescent="0.25">
      <c r="A41" s="12" t="s">
        <v>49</v>
      </c>
      <c r="B41" s="16">
        <v>259780</v>
      </c>
      <c r="C41" s="14">
        <v>4819740</v>
      </c>
      <c r="D41" s="14">
        <v>212792</v>
      </c>
      <c r="E41" s="12">
        <f t="shared" si="9"/>
        <v>0.1301972115376088</v>
      </c>
      <c r="F41" s="12">
        <f t="shared" si="10"/>
        <v>6.5145845847132955E-2</v>
      </c>
      <c r="G41" s="15">
        <f t="shared" si="11"/>
        <v>0</v>
      </c>
      <c r="H41" s="14">
        <f t="shared" si="12"/>
        <v>2.4887550226457679E-4</v>
      </c>
      <c r="I41" s="3">
        <f t="shared" si="13"/>
        <v>2.2814625332138076E-2</v>
      </c>
      <c r="M41" s="13">
        <f t="shared" si="8"/>
        <v>0</v>
      </c>
      <c r="N41" s="62">
        <v>152827208</v>
      </c>
      <c r="O41" s="67">
        <f t="shared" si="0"/>
        <v>0</v>
      </c>
      <c r="P41" s="67">
        <f t="shared" si="1"/>
        <v>1.6284764049643359E-3</v>
      </c>
      <c r="Q41" s="67">
        <f t="shared" si="2"/>
        <v>0.14928379331603098</v>
      </c>
      <c r="R41" s="64"/>
      <c r="S41" s="64"/>
      <c r="T41" s="64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</row>
    <row r="42" spans="1:99" s="6" customFormat="1" ht="19" x14ac:dyDescent="0.25">
      <c r="A42" s="6" t="s">
        <v>48</v>
      </c>
      <c r="B42" s="9">
        <v>0</v>
      </c>
      <c r="C42" s="7">
        <v>20992408</v>
      </c>
      <c r="D42" s="7">
        <v>1532114</v>
      </c>
      <c r="E42" s="6">
        <f t="shared" ref="E42:E87" si="14">(B42+C42)/SUM(B$42:C$87)</f>
        <v>0.20664164971879434</v>
      </c>
      <c r="F42" s="6">
        <f t="shared" ref="F42:F87" si="15">D42/SUM(D$42:D$87)</f>
        <v>5.0179427232012672E-2</v>
      </c>
      <c r="G42" s="8">
        <f t="shared" ref="G42:G87" si="16">J$45*F42</f>
        <v>8.9972716615543363E-6</v>
      </c>
      <c r="H42" s="7">
        <v>0</v>
      </c>
      <c r="I42" s="3">
        <f>E42*(L45+L46+L47)</f>
        <v>0.56366992225760704</v>
      </c>
      <c r="M42" s="11">
        <f t="shared" si="8"/>
        <v>0</v>
      </c>
      <c r="N42" s="63">
        <v>169631432</v>
      </c>
      <c r="O42" s="67">
        <f t="shared" si="0"/>
        <v>5.3040120899022632E-5</v>
      </c>
      <c r="P42" s="67">
        <f t="shared" si="1"/>
        <v>0</v>
      </c>
      <c r="Q42" s="67">
        <f t="shared" si="2"/>
        <v>3.3229096495371628</v>
      </c>
      <c r="R42" s="64"/>
      <c r="S42" s="64"/>
      <c r="T42" s="64"/>
    </row>
    <row r="43" spans="1:99" s="6" customFormat="1" ht="19" x14ac:dyDescent="0.25">
      <c r="A43" s="6" t="s">
        <v>47</v>
      </c>
      <c r="B43" s="9">
        <v>0</v>
      </c>
      <c r="C43" s="7">
        <v>12070293</v>
      </c>
      <c r="D43" s="7">
        <v>2694532</v>
      </c>
      <c r="E43" s="6">
        <f t="shared" si="14"/>
        <v>0.11881558600181626</v>
      </c>
      <c r="F43" s="6">
        <f t="shared" si="15"/>
        <v>8.8250660471955455E-2</v>
      </c>
      <c r="G43" s="8">
        <f t="shared" si="16"/>
        <v>1.5823519923942557E-5</v>
      </c>
      <c r="H43" s="7">
        <v>0</v>
      </c>
      <c r="I43" s="3">
        <f t="shared" ref="I43:I85" si="17">E43*(SUM(L$45:L$47))</f>
        <v>0.32410103295136694</v>
      </c>
      <c r="M43" s="11">
        <f t="shared" si="8"/>
        <v>0</v>
      </c>
      <c r="N43" s="63">
        <v>262196732</v>
      </c>
      <c r="O43" s="67">
        <f t="shared" si="0"/>
        <v>6.0349798425186156E-5</v>
      </c>
      <c r="P43" s="67">
        <f t="shared" si="1"/>
        <v>0</v>
      </c>
      <c r="Q43" s="67">
        <f t="shared" si="2"/>
        <v>1.2360986747591001</v>
      </c>
      <c r="R43" s="64"/>
      <c r="S43" s="64"/>
      <c r="T43" s="64"/>
    </row>
    <row r="44" spans="1:99" s="6" customFormat="1" ht="19" x14ac:dyDescent="0.25">
      <c r="A44" s="6" t="s">
        <v>46</v>
      </c>
      <c r="B44" s="9">
        <v>0</v>
      </c>
      <c r="C44" s="7">
        <v>12082890</v>
      </c>
      <c r="D44" s="7">
        <v>4221352</v>
      </c>
      <c r="E44" s="6">
        <f t="shared" si="14"/>
        <v>0.1189395863004722</v>
      </c>
      <c r="F44" s="6">
        <f t="shared" si="15"/>
        <v>0.13825669989616382</v>
      </c>
      <c r="G44" s="8">
        <f t="shared" si="16"/>
        <v>2.4789702804781964E-5</v>
      </c>
      <c r="H44" s="7">
        <v>0</v>
      </c>
      <c r="I44" s="3">
        <f t="shared" si="17"/>
        <v>0.32443927666360228</v>
      </c>
      <c r="M44" s="11">
        <f t="shared" si="8"/>
        <v>0</v>
      </c>
      <c r="N44" s="63">
        <v>287803330</v>
      </c>
      <c r="O44" s="67">
        <f t="shared" si="0"/>
        <v>8.6134176434935495E-5</v>
      </c>
      <c r="P44" s="67">
        <f t="shared" si="1"/>
        <v>0</v>
      </c>
      <c r="Q44" s="67">
        <f t="shared" si="2"/>
        <v>1.1272950756462836</v>
      </c>
      <c r="R44" s="64"/>
      <c r="S44" s="64"/>
      <c r="T44" s="64"/>
    </row>
    <row r="45" spans="1:99" s="6" customFormat="1" ht="19" x14ac:dyDescent="0.25">
      <c r="A45" s="6" t="s">
        <v>45</v>
      </c>
      <c r="B45" s="9">
        <v>0</v>
      </c>
      <c r="C45" s="7">
        <v>14386355</v>
      </c>
      <c r="D45" s="7">
        <v>193716</v>
      </c>
      <c r="E45" s="6">
        <f t="shared" si="14"/>
        <v>0.14161406021835254</v>
      </c>
      <c r="F45" s="6">
        <f t="shared" si="15"/>
        <v>6.3445395875741401E-3</v>
      </c>
      <c r="G45" s="8">
        <f t="shared" si="16"/>
        <v>1.1375886371312184E-6</v>
      </c>
      <c r="H45" s="7">
        <v>0</v>
      </c>
      <c r="I45" s="3">
        <f t="shared" si="17"/>
        <v>0.38628991988057471</v>
      </c>
      <c r="J45" s="53">
        <v>1.79302E-4</v>
      </c>
      <c r="K45" s="57">
        <v>0</v>
      </c>
      <c r="L45" s="57">
        <v>2.3698376830000001</v>
      </c>
      <c r="M45" s="11">
        <f t="shared" si="8"/>
        <v>2.3700169849999999</v>
      </c>
      <c r="N45" s="63">
        <v>58976634</v>
      </c>
      <c r="O45" s="67">
        <f t="shared" si="0"/>
        <v>1.9288802360799674E-5</v>
      </c>
      <c r="P45" s="67">
        <f t="shared" si="1"/>
        <v>0</v>
      </c>
      <c r="Q45" s="67">
        <f t="shared" si="2"/>
        <v>6.5498807524446834</v>
      </c>
      <c r="R45" s="64"/>
      <c r="S45" s="64"/>
      <c r="T45" s="64"/>
    </row>
    <row r="46" spans="1:99" s="6" customFormat="1" ht="19" x14ac:dyDescent="0.25">
      <c r="A46" s="6" t="s">
        <v>44</v>
      </c>
      <c r="B46" s="9">
        <v>0</v>
      </c>
      <c r="C46" s="7">
        <v>2031781</v>
      </c>
      <c r="D46" s="7">
        <v>5363</v>
      </c>
      <c r="E46" s="6">
        <f t="shared" si="14"/>
        <v>2.0000115170556027E-2</v>
      </c>
      <c r="F46" s="6">
        <f t="shared" si="15"/>
        <v>1.7564767911871045E-4</v>
      </c>
      <c r="G46" s="8">
        <f t="shared" si="16"/>
        <v>3.1493980161343019E-8</v>
      </c>
      <c r="H46" s="7">
        <v>0</v>
      </c>
      <c r="I46" s="3">
        <f t="shared" si="17"/>
        <v>5.4555620218246663E-2</v>
      </c>
      <c r="J46" s="54">
        <v>0</v>
      </c>
      <c r="K46" s="54">
        <v>0</v>
      </c>
      <c r="L46" s="6">
        <v>0.20258161999999999</v>
      </c>
      <c r="N46" s="63">
        <v>7680266</v>
      </c>
      <c r="O46" s="67">
        <f t="shared" si="0"/>
        <v>4.1006366395829287E-6</v>
      </c>
      <c r="P46" s="67">
        <f t="shared" si="1"/>
        <v>0</v>
      </c>
      <c r="Q46" s="67">
        <f t="shared" si="2"/>
        <v>7.1033503550849231</v>
      </c>
      <c r="R46" s="64"/>
      <c r="S46" s="64"/>
      <c r="T46" s="64"/>
    </row>
    <row r="47" spans="1:99" s="6" customFormat="1" ht="19" x14ac:dyDescent="0.25">
      <c r="A47" s="6" t="s">
        <v>43</v>
      </c>
      <c r="B47" s="9">
        <v>0</v>
      </c>
      <c r="C47" s="7">
        <v>8614452</v>
      </c>
      <c r="D47" s="7">
        <v>8070</v>
      </c>
      <c r="E47" s="6">
        <f t="shared" si="14"/>
        <v>8.4797540744414243E-2</v>
      </c>
      <c r="F47" s="6">
        <f t="shared" si="15"/>
        <v>2.6430668851165271E-4</v>
      </c>
      <c r="G47" s="8">
        <f t="shared" si="16"/>
        <v>4.739071786351635E-8</v>
      </c>
      <c r="H47" s="7">
        <v>0</v>
      </c>
      <c r="I47" s="3">
        <f t="shared" si="17"/>
        <v>0.23130778942234201</v>
      </c>
      <c r="J47" s="54">
        <v>0</v>
      </c>
      <c r="K47" s="54">
        <v>0</v>
      </c>
      <c r="L47" s="6">
        <v>0.15534600000000001</v>
      </c>
      <c r="N47" s="63">
        <v>29458392</v>
      </c>
      <c r="O47" s="67">
        <f t="shared" si="0"/>
        <v>1.6087340362473399E-6</v>
      </c>
      <c r="P47" s="67">
        <f t="shared" si="1"/>
        <v>0</v>
      </c>
      <c r="Q47" s="67">
        <f t="shared" si="2"/>
        <v>7.8520168182411991</v>
      </c>
      <c r="R47" s="64"/>
      <c r="S47" s="64"/>
      <c r="T47" s="64"/>
    </row>
    <row r="48" spans="1:99" s="6" customFormat="1" ht="19" x14ac:dyDescent="0.25">
      <c r="A48" s="6" t="s">
        <v>42</v>
      </c>
      <c r="B48" s="9">
        <v>0</v>
      </c>
      <c r="C48" s="7">
        <v>5203291</v>
      </c>
      <c r="D48" s="7">
        <v>815494</v>
      </c>
      <c r="E48" s="6">
        <f t="shared" si="14"/>
        <v>5.1219309200114402E-2</v>
      </c>
      <c r="F48" s="6">
        <f t="shared" si="15"/>
        <v>2.6708862285145192E-2</v>
      </c>
      <c r="G48" s="8">
        <f t="shared" si="16"/>
        <v>4.7889524254511034E-6</v>
      </c>
      <c r="H48" s="7">
        <v>0</v>
      </c>
      <c r="I48" s="3">
        <f t="shared" si="17"/>
        <v>0.13971425447970076</v>
      </c>
      <c r="N48" s="63">
        <v>48124910</v>
      </c>
      <c r="O48" s="67">
        <f t="shared" si="0"/>
        <v>9.9510885847913348E-5</v>
      </c>
      <c r="P48" s="67">
        <f t="shared" si="1"/>
        <v>0</v>
      </c>
      <c r="Q48" s="67">
        <f t="shared" si="2"/>
        <v>2.9031587691218697</v>
      </c>
      <c r="R48" s="64"/>
      <c r="S48" s="64"/>
      <c r="T48" s="64"/>
    </row>
    <row r="49" spans="1:20" s="6" customFormat="1" ht="19" x14ac:dyDescent="0.25">
      <c r="A49" s="6" t="s">
        <v>41</v>
      </c>
      <c r="B49" s="9">
        <v>0</v>
      </c>
      <c r="C49" s="7">
        <v>337693</v>
      </c>
      <c r="D49" s="7">
        <v>48525</v>
      </c>
      <c r="E49" s="6">
        <f t="shared" si="14"/>
        <v>3.3241273997003497E-3</v>
      </c>
      <c r="F49" s="6">
        <f t="shared" si="15"/>
        <v>1.5892790656788038E-3</v>
      </c>
      <c r="G49" s="8">
        <f t="shared" si="16"/>
        <v>2.849609150343409E-7</v>
      </c>
      <c r="H49" s="7">
        <v>0</v>
      </c>
      <c r="I49" s="3">
        <f t="shared" si="17"/>
        <v>9.0674393836542282E-3</v>
      </c>
      <c r="N49" s="63">
        <v>5886272</v>
      </c>
      <c r="O49" s="67">
        <f t="shared" si="0"/>
        <v>4.8411102143146102E-5</v>
      </c>
      <c r="P49" s="67">
        <f t="shared" si="1"/>
        <v>0</v>
      </c>
      <c r="Q49" s="67">
        <f t="shared" si="2"/>
        <v>1.5404383935459027</v>
      </c>
      <c r="R49" s="64"/>
      <c r="S49" s="64"/>
      <c r="T49" s="64"/>
    </row>
    <row r="50" spans="1:20" s="6" customFormat="1" ht="19" x14ac:dyDescent="0.25">
      <c r="A50" s="6" t="s">
        <v>40</v>
      </c>
      <c r="B50" s="9">
        <v>0</v>
      </c>
      <c r="C50" s="7">
        <v>1069585</v>
      </c>
      <c r="D50" s="7">
        <v>237675</v>
      </c>
      <c r="E50" s="6">
        <f t="shared" si="14"/>
        <v>1.0528606766526101E-2</v>
      </c>
      <c r="F50" s="6">
        <f t="shared" si="15"/>
        <v>7.7842741254035997E-3</v>
      </c>
      <c r="G50" s="8">
        <f t="shared" si="16"/>
        <v>1.3957359192331162E-6</v>
      </c>
      <c r="H50" s="7">
        <v>0</v>
      </c>
      <c r="I50" s="3">
        <f t="shared" si="17"/>
        <v>2.8719568226660924E-2</v>
      </c>
      <c r="N50" s="63">
        <v>57638924</v>
      </c>
      <c r="O50" s="67">
        <f t="shared" si="0"/>
        <v>2.4215162643097155E-5</v>
      </c>
      <c r="P50" s="67">
        <f t="shared" si="1"/>
        <v>0</v>
      </c>
      <c r="Q50" s="67">
        <f t="shared" si="2"/>
        <v>0.49826690426526565</v>
      </c>
      <c r="R50" s="64"/>
      <c r="S50" s="64"/>
      <c r="T50" s="64"/>
    </row>
    <row r="51" spans="1:20" s="6" customFormat="1" ht="19" x14ac:dyDescent="0.25">
      <c r="A51" s="6" t="s">
        <v>39</v>
      </c>
      <c r="B51" s="9">
        <v>0</v>
      </c>
      <c r="C51" s="7">
        <v>284767</v>
      </c>
      <c r="D51" s="7">
        <v>18010</v>
      </c>
      <c r="E51" s="6">
        <f t="shared" si="14"/>
        <v>2.8031430536921689E-3</v>
      </c>
      <c r="F51" s="6">
        <f t="shared" si="15"/>
        <v>5.8985916481968587E-4</v>
      </c>
      <c r="G51" s="8">
        <f t="shared" si="16"/>
        <v>1.0576292797049932E-7</v>
      </c>
      <c r="H51" s="7">
        <v>0</v>
      </c>
      <c r="I51" s="3">
        <f t="shared" si="17"/>
        <v>7.6463163612069656E-3</v>
      </c>
      <c r="N51" s="63">
        <v>63798955</v>
      </c>
      <c r="O51" s="67">
        <f t="shared" si="0"/>
        <v>1.6577532965939539E-6</v>
      </c>
      <c r="P51" s="67">
        <f t="shared" si="1"/>
        <v>0</v>
      </c>
      <c r="Q51" s="67">
        <f t="shared" si="2"/>
        <v>0.11985018189101947</v>
      </c>
      <c r="R51" s="64"/>
      <c r="S51" s="64"/>
      <c r="T51" s="64"/>
    </row>
    <row r="52" spans="1:20" s="6" customFormat="1" ht="19" x14ac:dyDescent="0.25">
      <c r="A52" s="6" t="s">
        <v>38</v>
      </c>
      <c r="B52" s="9">
        <v>0</v>
      </c>
      <c r="C52" s="7">
        <v>271880</v>
      </c>
      <c r="D52" s="7">
        <v>4463</v>
      </c>
      <c r="E52" s="6">
        <f t="shared" si="14"/>
        <v>2.6762881002287023E-3</v>
      </c>
      <c r="F52" s="6">
        <f t="shared" si="15"/>
        <v>1.4617109675681611E-4</v>
      </c>
      <c r="G52" s="8">
        <f t="shared" si="16"/>
        <v>2.6208769990690641E-8</v>
      </c>
      <c r="H52" s="7">
        <v>0</v>
      </c>
      <c r="I52" s="3">
        <f t="shared" si="17"/>
        <v>7.3002858206356411E-3</v>
      </c>
      <c r="N52" s="63">
        <v>7183737</v>
      </c>
      <c r="O52" s="67">
        <f t="shared" si="0"/>
        <v>3.6483476484023063E-6</v>
      </c>
      <c r="P52" s="67">
        <f t="shared" si="1"/>
        <v>0</v>
      </c>
      <c r="Q52" s="67">
        <f t="shared" si="2"/>
        <v>1.016223982119006</v>
      </c>
      <c r="R52" s="64"/>
      <c r="S52" s="64"/>
      <c r="T52" s="64"/>
    </row>
    <row r="53" spans="1:20" s="6" customFormat="1" ht="19" x14ac:dyDescent="0.25">
      <c r="A53" s="6" t="s">
        <v>37</v>
      </c>
      <c r="B53" s="9">
        <v>0</v>
      </c>
      <c r="C53" s="7">
        <v>2987</v>
      </c>
      <c r="D53" s="6">
        <v>585</v>
      </c>
      <c r="E53" s="6">
        <f t="shared" si="14"/>
        <v>2.9402944517372125E-5</v>
      </c>
      <c r="F53" s="6">
        <f t="shared" si="15"/>
        <v>1.9159778535231329E-5</v>
      </c>
      <c r="G53" s="8">
        <f t="shared" si="16"/>
        <v>3.4353866109240477E-9</v>
      </c>
      <c r="H53" s="7">
        <v>0</v>
      </c>
      <c r="I53" s="3">
        <f t="shared" si="17"/>
        <v>8.0204331860521776E-5</v>
      </c>
      <c r="N53" s="63">
        <v>273235</v>
      </c>
      <c r="O53" s="67">
        <f t="shared" si="0"/>
        <v>1.2573010818248203E-5</v>
      </c>
      <c r="P53" s="67">
        <f t="shared" si="1"/>
        <v>0</v>
      </c>
      <c r="Q53" s="67">
        <f t="shared" si="2"/>
        <v>0.29353608381254881</v>
      </c>
      <c r="R53" s="64"/>
      <c r="S53" s="64"/>
      <c r="T53" s="64"/>
    </row>
    <row r="54" spans="1:20" s="6" customFormat="1" ht="19" x14ac:dyDescent="0.25">
      <c r="A54" s="6" t="s">
        <v>36</v>
      </c>
      <c r="B54" s="9">
        <v>0</v>
      </c>
      <c r="C54" s="7">
        <v>17028</v>
      </c>
      <c r="D54" s="7">
        <v>15518</v>
      </c>
      <c r="E54" s="6">
        <f t="shared" si="14"/>
        <v>1.6761745538728241E-4</v>
      </c>
      <c r="F54" s="6">
        <f t="shared" si="15"/>
        <v>5.0824178343541841E-4</v>
      </c>
      <c r="G54" s="8">
        <f t="shared" si="16"/>
        <v>9.1128768253537396E-8</v>
      </c>
      <c r="H54" s="7">
        <v>0</v>
      </c>
      <c r="I54" s="3">
        <f t="shared" si="17"/>
        <v>4.5722107898257949E-4</v>
      </c>
      <c r="N54" s="63">
        <v>2486383</v>
      </c>
      <c r="O54" s="67">
        <f t="shared" si="0"/>
        <v>3.665113872381584E-5</v>
      </c>
      <c r="P54" s="67">
        <f t="shared" si="1"/>
        <v>0</v>
      </c>
      <c r="Q54" s="67">
        <f t="shared" si="2"/>
        <v>0.1838900438840595</v>
      </c>
      <c r="R54" s="64"/>
      <c r="S54" s="64"/>
      <c r="T54" s="64"/>
    </row>
    <row r="55" spans="1:20" s="6" customFormat="1" ht="19" x14ac:dyDescent="0.25">
      <c r="A55" s="6" t="s">
        <v>35</v>
      </c>
      <c r="B55" s="9">
        <v>0</v>
      </c>
      <c r="C55" s="7">
        <v>5869209</v>
      </c>
      <c r="D55" s="7">
        <v>201313</v>
      </c>
      <c r="E55" s="6">
        <f t="shared" si="14"/>
        <v>5.7774364441868474E-2</v>
      </c>
      <c r="F55" s="6">
        <f t="shared" si="15"/>
        <v>6.5933546944667082E-3</v>
      </c>
      <c r="G55" s="8">
        <f t="shared" si="16"/>
        <v>1.1822016834272696E-6</v>
      </c>
      <c r="H55" s="7">
        <v>0</v>
      </c>
      <c r="I55" s="3">
        <f t="shared" si="17"/>
        <v>0.15759490672740581</v>
      </c>
      <c r="N55" s="63">
        <v>138097699</v>
      </c>
      <c r="O55" s="67">
        <f t="shared" si="0"/>
        <v>8.5606182578557636E-6</v>
      </c>
      <c r="P55" s="67">
        <f t="shared" si="1"/>
        <v>0</v>
      </c>
      <c r="Q55" s="67">
        <f t="shared" si="2"/>
        <v>1.141184160696304</v>
      </c>
      <c r="R55" s="64"/>
      <c r="S55" s="64"/>
      <c r="T55" s="64"/>
    </row>
    <row r="56" spans="1:20" s="6" customFormat="1" ht="19" x14ac:dyDescent="0.25">
      <c r="A56" s="6" t="s">
        <v>34</v>
      </c>
      <c r="B56" s="9">
        <v>0</v>
      </c>
      <c r="C56" s="7">
        <v>250668</v>
      </c>
      <c r="D56" s="7">
        <v>6210</v>
      </c>
      <c r="E56" s="6">
        <f t="shared" si="14"/>
        <v>2.4674848665151108E-3</v>
      </c>
      <c r="F56" s="6">
        <f t="shared" si="15"/>
        <v>2.0338841829707101E-4</v>
      </c>
      <c r="G56" s="8">
        <f t="shared" si="16"/>
        <v>3.6467950177501429E-8</v>
      </c>
      <c r="H56" s="7">
        <v>0</v>
      </c>
      <c r="I56" s="3">
        <f t="shared" si="17"/>
        <v>6.7307196045575069E-3</v>
      </c>
      <c r="N56" s="63">
        <v>23091534</v>
      </c>
      <c r="O56" s="67">
        <f t="shared" si="0"/>
        <v>1.5792779369920347E-6</v>
      </c>
      <c r="P56" s="67">
        <f t="shared" si="1"/>
        <v>0</v>
      </c>
      <c r="Q56" s="67">
        <f t="shared" si="2"/>
        <v>0.29147996857019148</v>
      </c>
      <c r="R56" s="64"/>
      <c r="S56" s="64"/>
      <c r="T56" s="64"/>
    </row>
    <row r="57" spans="1:20" s="6" customFormat="1" ht="19" x14ac:dyDescent="0.25">
      <c r="A57" s="6" t="s">
        <v>33</v>
      </c>
      <c r="B57" s="9">
        <v>0</v>
      </c>
      <c r="C57" s="7">
        <v>701484</v>
      </c>
      <c r="D57" s="7">
        <v>19234</v>
      </c>
      <c r="E57" s="6">
        <f t="shared" si="14"/>
        <v>6.9051540448022324E-3</v>
      </c>
      <c r="F57" s="6">
        <f t="shared" si="15"/>
        <v>6.2994731683186213E-4</v>
      </c>
      <c r="G57" s="8">
        <f t="shared" si="16"/>
        <v>1.1295081380258655E-7</v>
      </c>
      <c r="H57" s="7">
        <v>0</v>
      </c>
      <c r="I57" s="3">
        <f t="shared" si="17"/>
        <v>1.8835639615281639E-2</v>
      </c>
      <c r="N57" s="63">
        <v>12641599</v>
      </c>
      <c r="O57" s="67">
        <f t="shared" si="0"/>
        <v>8.9348518176052379E-6</v>
      </c>
      <c r="P57" s="67">
        <f t="shared" si="1"/>
        <v>0</v>
      </c>
      <c r="Q57" s="67">
        <f t="shared" si="2"/>
        <v>1.489972875684606</v>
      </c>
      <c r="R57" s="64"/>
      <c r="S57" s="64"/>
      <c r="T57" s="64"/>
    </row>
    <row r="58" spans="1:20" s="6" customFormat="1" ht="19" x14ac:dyDescent="0.25">
      <c r="A58" s="6" t="s">
        <v>32</v>
      </c>
      <c r="B58" s="9">
        <v>0</v>
      </c>
      <c r="C58" s="7">
        <v>234361</v>
      </c>
      <c r="D58" s="7">
        <v>8859</v>
      </c>
      <c r="E58" s="6">
        <f t="shared" si="14"/>
        <v>2.3069646735975387E-3</v>
      </c>
      <c r="F58" s="6">
        <f t="shared" si="15"/>
        <v>2.9014782571558004E-4</v>
      </c>
      <c r="G58" s="8">
        <f t="shared" si="16"/>
        <v>5.2024085446454934E-8</v>
      </c>
      <c r="H58" s="7">
        <v>0</v>
      </c>
      <c r="I58" s="3">
        <f t="shared" si="17"/>
        <v>6.292858191886087E-3</v>
      </c>
      <c r="N58" s="63">
        <v>108314035</v>
      </c>
      <c r="O58" s="67">
        <f t="shared" si="0"/>
        <v>4.803078885063689E-7</v>
      </c>
      <c r="P58" s="67">
        <f t="shared" si="1"/>
        <v>0</v>
      </c>
      <c r="Q58" s="67">
        <f t="shared" si="2"/>
        <v>5.8098271307925026E-2</v>
      </c>
      <c r="R58" s="64"/>
      <c r="S58" s="64"/>
      <c r="T58" s="64"/>
    </row>
    <row r="59" spans="1:20" s="6" customFormat="1" ht="19" x14ac:dyDescent="0.25">
      <c r="A59" s="6" t="s">
        <v>31</v>
      </c>
      <c r="B59" s="9">
        <v>0</v>
      </c>
      <c r="C59" s="7">
        <v>28141</v>
      </c>
      <c r="D59" s="6">
        <v>410</v>
      </c>
      <c r="E59" s="6">
        <f t="shared" si="14"/>
        <v>2.7700979633859022E-4</v>
      </c>
      <c r="F59" s="6">
        <f t="shared" si="15"/>
        <v>1.3428220853751871E-5</v>
      </c>
      <c r="G59" s="8">
        <f t="shared" si="16"/>
        <v>2.407706855519418E-9</v>
      </c>
      <c r="H59" s="7">
        <v>0</v>
      </c>
      <c r="I59" s="3">
        <f t="shared" si="17"/>
        <v>7.5561771104350293E-4</v>
      </c>
      <c r="N59" s="63">
        <v>19533188</v>
      </c>
      <c r="O59" s="67">
        <f t="shared" si="0"/>
        <v>1.2326236022094388E-7</v>
      </c>
      <c r="P59" s="67">
        <f t="shared" si="1"/>
        <v>0</v>
      </c>
      <c r="Q59" s="67">
        <f t="shared" si="2"/>
        <v>3.8683788383314745E-2</v>
      </c>
      <c r="R59" s="64"/>
      <c r="S59" s="64"/>
      <c r="T59" s="64"/>
    </row>
    <row r="60" spans="1:20" s="6" customFormat="1" ht="19" x14ac:dyDescent="0.25">
      <c r="A60" s="6" t="s">
        <v>30</v>
      </c>
      <c r="B60" s="9">
        <v>0</v>
      </c>
      <c r="C60" s="7">
        <v>11833</v>
      </c>
      <c r="D60" s="6">
        <v>347</v>
      </c>
      <c r="E60" s="6">
        <f t="shared" si="14"/>
        <v>1.1647975978375104E-4</v>
      </c>
      <c r="F60" s="6">
        <f t="shared" si="15"/>
        <v>1.1364860088419266E-5</v>
      </c>
      <c r="G60" s="8">
        <f t="shared" si="16"/>
        <v>2.0377421435737512E-9</v>
      </c>
      <c r="H60" s="7">
        <v>0</v>
      </c>
      <c r="I60" s="3">
        <f t="shared" si="17"/>
        <v>3.1772944723989095E-4</v>
      </c>
      <c r="N60" s="63">
        <v>2067169</v>
      </c>
      <c r="O60" s="67">
        <f t="shared" si="0"/>
        <v>9.8576465860979497E-7</v>
      </c>
      <c r="P60" s="67">
        <f t="shared" si="1"/>
        <v>0</v>
      </c>
      <c r="Q60" s="67">
        <f t="shared" si="2"/>
        <v>0.15370269544478024</v>
      </c>
      <c r="R60" s="64"/>
      <c r="S60" s="64"/>
      <c r="T60" s="64"/>
    </row>
    <row r="61" spans="1:20" s="6" customFormat="1" ht="19" x14ac:dyDescent="0.25">
      <c r="A61" s="6" t="s">
        <v>29</v>
      </c>
      <c r="B61" s="10">
        <v>51804</v>
      </c>
      <c r="C61" s="7">
        <v>270665</v>
      </c>
      <c r="D61" s="7">
        <v>982175</v>
      </c>
      <c r="E61" s="6">
        <f t="shared" si="14"/>
        <v>3.1742678659432448E-3</v>
      </c>
      <c r="F61" s="6">
        <f t="shared" si="15"/>
        <v>3.2167958090326208E-2</v>
      </c>
      <c r="G61" s="8">
        <f t="shared" si="16"/>
        <v>5.7677792215116697E-6</v>
      </c>
      <c r="H61" s="7">
        <v>0</v>
      </c>
      <c r="I61" s="3">
        <f t="shared" si="17"/>
        <v>8.6586577471478403E-3</v>
      </c>
      <c r="N61" s="63">
        <v>240566225</v>
      </c>
      <c r="O61" s="67">
        <f t="shared" si="0"/>
        <v>2.3975847904300239E-5</v>
      </c>
      <c r="P61" s="67">
        <f t="shared" si="1"/>
        <v>0</v>
      </c>
      <c r="Q61" s="67">
        <f t="shared" si="2"/>
        <v>3.5992823793730151E-2</v>
      </c>
      <c r="R61" s="64"/>
      <c r="S61" s="64"/>
      <c r="T61" s="64"/>
    </row>
    <row r="62" spans="1:20" s="6" customFormat="1" ht="19" x14ac:dyDescent="0.25">
      <c r="A62" s="6" t="s">
        <v>28</v>
      </c>
      <c r="B62" s="9">
        <v>0</v>
      </c>
      <c r="C62" s="7">
        <v>260329</v>
      </c>
      <c r="D62" s="7">
        <v>110563</v>
      </c>
      <c r="E62" s="6">
        <f t="shared" si="14"/>
        <v>2.5625842461543249E-3</v>
      </c>
      <c r="F62" s="6">
        <f t="shared" si="15"/>
        <v>3.6211326396423612E-3</v>
      </c>
      <c r="G62" s="8">
        <f t="shared" si="16"/>
        <v>6.4927632455315461E-7</v>
      </c>
      <c r="H62" s="7">
        <v>0</v>
      </c>
      <c r="I62" s="3">
        <f t="shared" si="17"/>
        <v>6.9901283926741796E-3</v>
      </c>
      <c r="N62" s="63">
        <v>5264605</v>
      </c>
      <c r="O62" s="67">
        <f t="shared" si="0"/>
        <v>1.2332859246860014E-4</v>
      </c>
      <c r="P62" s="67">
        <f t="shared" si="1"/>
        <v>0</v>
      </c>
      <c r="Q62" s="67">
        <f t="shared" si="2"/>
        <v>1.3277593271810857</v>
      </c>
      <c r="R62" s="64"/>
      <c r="S62" s="64"/>
      <c r="T62" s="64"/>
    </row>
    <row r="63" spans="1:20" s="6" customFormat="1" ht="19" x14ac:dyDescent="0.25">
      <c r="A63" s="6" t="s">
        <v>27</v>
      </c>
      <c r="B63" s="9">
        <v>0</v>
      </c>
      <c r="C63" s="7">
        <v>457006</v>
      </c>
      <c r="D63" s="7">
        <v>19146</v>
      </c>
      <c r="E63" s="6">
        <f t="shared" si="14"/>
        <v>4.4986012929715989E-3</v>
      </c>
      <c r="F63" s="6">
        <f t="shared" si="15"/>
        <v>6.2706516211203246E-4</v>
      </c>
      <c r="G63" s="8">
        <f t="shared" si="16"/>
        <v>1.1243403769701165E-7</v>
      </c>
      <c r="H63" s="7">
        <v>0</v>
      </c>
      <c r="I63" s="3">
        <f t="shared" si="17"/>
        <v>1.2271128518998867E-2</v>
      </c>
      <c r="N63" s="63">
        <v>5287036</v>
      </c>
      <c r="O63" s="67">
        <f t="shared" si="0"/>
        <v>2.1265986782955827E-5</v>
      </c>
      <c r="P63" s="67">
        <f t="shared" si="1"/>
        <v>0</v>
      </c>
      <c r="Q63" s="67">
        <f t="shared" si="2"/>
        <v>2.3209844833662694</v>
      </c>
      <c r="R63" s="64"/>
      <c r="S63" s="64"/>
      <c r="T63" s="64"/>
    </row>
    <row r="64" spans="1:20" s="6" customFormat="1" ht="19" x14ac:dyDescent="0.25">
      <c r="A64" s="6" t="s">
        <v>26</v>
      </c>
      <c r="B64" s="9">
        <v>0</v>
      </c>
      <c r="C64" s="7">
        <v>91827</v>
      </c>
      <c r="D64" s="7">
        <v>7175</v>
      </c>
      <c r="E64" s="6">
        <f t="shared" si="14"/>
        <v>9.0391167934272853E-4</v>
      </c>
      <c r="F64" s="6">
        <f t="shared" si="15"/>
        <v>2.3499386494065774E-4</v>
      </c>
      <c r="G64" s="8">
        <f t="shared" si="16"/>
        <v>4.2134869971589812E-8</v>
      </c>
      <c r="H64" s="7">
        <v>0</v>
      </c>
      <c r="I64" s="3">
        <f t="shared" si="17"/>
        <v>2.4656589158875571E-3</v>
      </c>
      <c r="N64" s="63">
        <v>14491782</v>
      </c>
      <c r="O64" s="67">
        <f t="shared" si="0"/>
        <v>2.9075009527185691E-6</v>
      </c>
      <c r="P64" s="67">
        <f t="shared" si="1"/>
        <v>0</v>
      </c>
      <c r="Q64" s="67">
        <f t="shared" si="2"/>
        <v>0.17014187184761387</v>
      </c>
      <c r="R64" s="64"/>
      <c r="S64" s="64"/>
      <c r="T64" s="64"/>
    </row>
    <row r="65" spans="1:20" s="6" customFormat="1" ht="19" x14ac:dyDescent="0.25">
      <c r="A65" s="6" t="s">
        <v>25</v>
      </c>
      <c r="B65" s="9">
        <v>0</v>
      </c>
      <c r="C65" s="7">
        <v>41731</v>
      </c>
      <c r="D65" s="7">
        <v>58556</v>
      </c>
      <c r="E65" s="6">
        <f t="shared" si="14"/>
        <v>4.1078482680095618E-4</v>
      </c>
      <c r="F65" s="6">
        <f t="shared" si="15"/>
        <v>1.9178119519812063E-3</v>
      </c>
      <c r="G65" s="8">
        <f t="shared" si="16"/>
        <v>3.4386751861413427E-7</v>
      </c>
      <c r="H65" s="7">
        <v>0</v>
      </c>
      <c r="I65" s="3">
        <f t="shared" si="17"/>
        <v>1.1205245975465128E-3</v>
      </c>
      <c r="N65" s="63">
        <v>3088567</v>
      </c>
      <c r="O65" s="67">
        <f t="shared" si="0"/>
        <v>1.113356189501909E-4</v>
      </c>
      <c r="P65" s="67">
        <f t="shared" si="1"/>
        <v>0</v>
      </c>
      <c r="Q65" s="67">
        <f t="shared" si="2"/>
        <v>0.36279756843432986</v>
      </c>
      <c r="R65" s="64"/>
      <c r="S65" s="64"/>
      <c r="T65" s="64"/>
    </row>
    <row r="66" spans="1:20" s="6" customFormat="1" ht="19" x14ac:dyDescent="0.25">
      <c r="A66" s="6" t="s">
        <v>24</v>
      </c>
      <c r="B66" s="9">
        <v>0</v>
      </c>
      <c r="C66" s="7">
        <v>816653</v>
      </c>
      <c r="D66" s="7">
        <v>31313</v>
      </c>
      <c r="E66" s="6">
        <f t="shared" si="14"/>
        <v>8.0388359052378632E-3</v>
      </c>
      <c r="F66" s="6">
        <f t="shared" si="15"/>
        <v>1.0255558038866643E-3</v>
      </c>
      <c r="G66" s="8">
        <f t="shared" si="16"/>
        <v>1.8388420674848669E-7</v>
      </c>
      <c r="H66" s="7">
        <v>0</v>
      </c>
      <c r="I66" s="3">
        <f t="shared" si="17"/>
        <v>2.1928057658818442E-2</v>
      </c>
      <c r="N66" s="63">
        <v>9948883</v>
      </c>
      <c r="O66" s="67">
        <f t="shared" si="0"/>
        <v>1.8482899713313211E-5</v>
      </c>
      <c r="P66" s="67">
        <f t="shared" si="1"/>
        <v>0</v>
      </c>
      <c r="Q66" s="67">
        <f t="shared" si="2"/>
        <v>2.2040723223721135</v>
      </c>
      <c r="R66" s="64"/>
      <c r="S66" s="64"/>
      <c r="T66" s="64"/>
    </row>
    <row r="67" spans="1:20" s="6" customFormat="1" ht="19" x14ac:dyDescent="0.25">
      <c r="A67" s="6" t="s">
        <v>23</v>
      </c>
      <c r="B67" s="9">
        <v>0</v>
      </c>
      <c r="C67" s="7">
        <v>240347</v>
      </c>
      <c r="D67" s="7">
        <v>25227</v>
      </c>
      <c r="E67" s="6">
        <f t="shared" si="14"/>
        <v>2.3658886862794903E-3</v>
      </c>
      <c r="F67" s="6">
        <f t="shared" si="15"/>
        <v>8.2622860360389867E-4</v>
      </c>
      <c r="G67" s="8">
        <f t="shared" si="16"/>
        <v>1.4814444108338623E-7</v>
      </c>
      <c r="H67" s="7">
        <v>0</v>
      </c>
      <c r="I67" s="3">
        <f t="shared" si="17"/>
        <v>6.453589069193447E-3</v>
      </c>
      <c r="N67" s="63">
        <v>4755021</v>
      </c>
      <c r="O67" s="67">
        <f t="shared" si="0"/>
        <v>3.1155370519580507E-5</v>
      </c>
      <c r="P67" s="67">
        <f t="shared" si="1"/>
        <v>0</v>
      </c>
      <c r="Q67" s="67">
        <f t="shared" si="2"/>
        <v>1.3572156819482917</v>
      </c>
      <c r="R67" s="64"/>
      <c r="S67" s="64"/>
      <c r="T67" s="64"/>
    </row>
    <row r="68" spans="1:20" s="6" customFormat="1" ht="19" x14ac:dyDescent="0.25">
      <c r="A68" s="6" t="s">
        <v>22</v>
      </c>
      <c r="B68" s="9">
        <v>0</v>
      </c>
      <c r="C68" s="7">
        <v>45111</v>
      </c>
      <c r="D68" s="7">
        <v>8092</v>
      </c>
      <c r="E68" s="6">
        <f t="shared" si="14"/>
        <v>4.4405632076437027E-4</v>
      </c>
      <c r="F68" s="6">
        <f t="shared" si="15"/>
        <v>2.6502722719161012E-4</v>
      </c>
      <c r="G68" s="8">
        <f t="shared" si="16"/>
        <v>4.7519911889910079E-8</v>
      </c>
      <c r="H68" s="7">
        <v>0</v>
      </c>
      <c r="I68" s="3">
        <f t="shared" si="17"/>
        <v>1.2112814243588879E-3</v>
      </c>
      <c r="N68" s="63">
        <v>684436</v>
      </c>
      <c r="O68" s="67">
        <f t="shared" si="0"/>
        <v>6.9429299291548198E-5</v>
      </c>
      <c r="P68" s="67">
        <f t="shared" si="1"/>
        <v>0</v>
      </c>
      <c r="Q68" s="67">
        <f t="shared" si="2"/>
        <v>1.7697511883636861</v>
      </c>
      <c r="R68" s="64"/>
      <c r="S68" s="64"/>
      <c r="T68" s="64"/>
    </row>
    <row r="69" spans="1:20" s="6" customFormat="1" ht="19" x14ac:dyDescent="0.25">
      <c r="A69" s="6" t="s">
        <v>21</v>
      </c>
      <c r="B69" s="9">
        <v>0</v>
      </c>
      <c r="C69" s="7">
        <v>2277926</v>
      </c>
      <c r="D69" s="7">
        <v>352569</v>
      </c>
      <c r="E69" s="6">
        <f t="shared" si="14"/>
        <v>2.242307726571122E-2</v>
      </c>
      <c r="F69" s="6">
        <f t="shared" si="15"/>
        <v>1.1547254629723032E-2</v>
      </c>
      <c r="G69" s="8">
        <f t="shared" si="16"/>
        <v>2.0704458496185991E-6</v>
      </c>
      <c r="H69" s="7">
        <v>0</v>
      </c>
      <c r="I69" s="3">
        <f t="shared" si="17"/>
        <v>6.1164892151895189E-2</v>
      </c>
      <c r="N69" s="63">
        <v>12593639</v>
      </c>
      <c r="O69" s="67">
        <f t="shared" si="0"/>
        <v>1.6440409714925123E-4</v>
      </c>
      <c r="P69" s="67">
        <f t="shared" si="1"/>
        <v>0</v>
      </c>
      <c r="Q69" s="67">
        <f t="shared" si="2"/>
        <v>4.8568084373305593</v>
      </c>
      <c r="R69" s="64"/>
      <c r="S69" s="64"/>
      <c r="T69" s="64"/>
    </row>
    <row r="70" spans="1:20" s="6" customFormat="1" ht="19" x14ac:dyDescent="0.25">
      <c r="A70" s="6" t="s">
        <v>20</v>
      </c>
      <c r="B70" s="9">
        <v>0</v>
      </c>
      <c r="C70" s="7">
        <v>431207</v>
      </c>
      <c r="D70" s="7">
        <v>127144</v>
      </c>
      <c r="E70" s="6">
        <f t="shared" si="14"/>
        <v>4.2446452951129835E-3</v>
      </c>
      <c r="F70" s="6">
        <f t="shared" si="15"/>
        <v>4.1641895420229946E-3</v>
      </c>
      <c r="G70" s="8">
        <f t="shared" si="16"/>
        <v>7.4664751326380699E-7</v>
      </c>
      <c r="H70" s="7">
        <v>0</v>
      </c>
      <c r="I70" s="3">
        <f t="shared" si="17"/>
        <v>1.1578396159551394E-2</v>
      </c>
      <c r="N70" s="63">
        <v>8231205</v>
      </c>
      <c r="O70" s="67">
        <f t="shared" ref="O70:O87" si="18">(G70/N70)*10^9</f>
        <v>9.0709381343777372E-5</v>
      </c>
      <c r="P70" s="67">
        <f t="shared" ref="P70:P87" si="19">(H70/N70)*10^9</f>
        <v>0</v>
      </c>
      <c r="Q70" s="67">
        <f t="shared" ref="Q70:Q87" si="20">(I70/N70)*10^9</f>
        <v>1.4066465553404872</v>
      </c>
      <c r="R70" s="64"/>
      <c r="S70" s="64"/>
      <c r="T70" s="64"/>
    </row>
    <row r="71" spans="1:20" s="6" customFormat="1" ht="19" x14ac:dyDescent="0.25">
      <c r="A71" s="6" t="s">
        <v>19</v>
      </c>
      <c r="B71" s="9">
        <v>0</v>
      </c>
      <c r="C71" s="7">
        <v>1365875</v>
      </c>
      <c r="D71" s="7">
        <v>25159</v>
      </c>
      <c r="E71" s="6">
        <f t="shared" si="14"/>
        <v>1.3445178052449163E-2</v>
      </c>
      <c r="F71" s="6">
        <f t="shared" si="15"/>
        <v>8.2400148404766663E-4</v>
      </c>
      <c r="G71" s="8">
        <f t="shared" si="16"/>
        <v>1.4774511409271471E-7</v>
      </c>
      <c r="H71" s="7">
        <v>0</v>
      </c>
      <c r="I71" s="3">
        <f t="shared" si="17"/>
        <v>3.6675290184127948E-2</v>
      </c>
      <c r="N71" s="63">
        <v>7215432</v>
      </c>
      <c r="O71" s="67">
        <f t="shared" si="18"/>
        <v>2.0476267268919546E-5</v>
      </c>
      <c r="P71" s="67">
        <f t="shared" si="19"/>
        <v>0</v>
      </c>
      <c r="Q71" s="67">
        <f t="shared" si="20"/>
        <v>5.0828959630037325</v>
      </c>
      <c r="R71" s="64"/>
      <c r="S71" s="64"/>
      <c r="T71" s="64"/>
    </row>
    <row r="72" spans="1:20" s="6" customFormat="1" ht="19" x14ac:dyDescent="0.25">
      <c r="A72" s="6" t="s">
        <v>18</v>
      </c>
      <c r="B72" s="9">
        <v>0</v>
      </c>
      <c r="C72" s="7">
        <v>1335231</v>
      </c>
      <c r="D72" s="7">
        <v>243889</v>
      </c>
      <c r="E72" s="6">
        <f t="shared" si="14"/>
        <v>1.3143529632030566E-2</v>
      </c>
      <c r="F72" s="6">
        <f t="shared" si="15"/>
        <v>7.9877935507333912E-3</v>
      </c>
      <c r="G72" s="8">
        <f t="shared" si="16"/>
        <v>1.4322273592335984E-6</v>
      </c>
      <c r="H72" s="7">
        <v>0</v>
      </c>
      <c r="I72" s="3">
        <f t="shared" si="17"/>
        <v>3.5852464089205338E-2</v>
      </c>
      <c r="N72" s="63">
        <v>7013107</v>
      </c>
      <c r="O72" s="67">
        <f t="shared" si="18"/>
        <v>2.042215182562591E-4</v>
      </c>
      <c r="P72" s="67">
        <f t="shared" si="19"/>
        <v>0</v>
      </c>
      <c r="Q72" s="67">
        <f t="shared" si="20"/>
        <v>5.1122083392147504</v>
      </c>
      <c r="R72" s="64"/>
      <c r="S72" s="64"/>
      <c r="T72" s="64"/>
    </row>
    <row r="73" spans="1:20" s="6" customFormat="1" ht="19" x14ac:dyDescent="0.25">
      <c r="A73" s="6" t="s">
        <v>17</v>
      </c>
      <c r="B73" s="9">
        <v>0</v>
      </c>
      <c r="C73" s="7">
        <v>1751335</v>
      </c>
      <c r="D73" s="7">
        <v>44806</v>
      </c>
      <c r="E73" s="6">
        <f t="shared" si="14"/>
        <v>1.7239506473495786E-2</v>
      </c>
      <c r="F73" s="6">
        <f t="shared" si="15"/>
        <v>1.4674752770078203E-3</v>
      </c>
      <c r="G73" s="8">
        <f t="shared" si="16"/>
        <v>2.631212521180562E-7</v>
      </c>
      <c r="H73" s="7">
        <v>0</v>
      </c>
      <c r="I73" s="3">
        <f t="shared" si="17"/>
        <v>4.70253275992457E-2</v>
      </c>
      <c r="N73" s="63">
        <v>22168982</v>
      </c>
      <c r="O73" s="67">
        <f t="shared" si="18"/>
        <v>1.1868891955348071E-5</v>
      </c>
      <c r="P73" s="67">
        <f t="shared" si="19"/>
        <v>0</v>
      </c>
      <c r="Q73" s="67">
        <f t="shared" si="20"/>
        <v>2.1212217863339733</v>
      </c>
      <c r="R73" s="64"/>
      <c r="S73" s="64"/>
      <c r="T73" s="64"/>
    </row>
    <row r="74" spans="1:20" s="6" customFormat="1" ht="19" x14ac:dyDescent="0.25">
      <c r="A74" s="6" t="s">
        <v>16</v>
      </c>
      <c r="B74" s="9">
        <v>0</v>
      </c>
      <c r="C74" s="7">
        <v>146272</v>
      </c>
      <c r="D74" s="7">
        <v>12351</v>
      </c>
      <c r="E74" s="6">
        <f t="shared" si="14"/>
        <v>1.4398485103599115E-3</v>
      </c>
      <c r="F74" s="6">
        <f t="shared" si="15"/>
        <v>4.0451696527973017E-4</v>
      </c>
      <c r="G74" s="8">
        <f t="shared" si="16"/>
        <v>7.2530700908586183E-8</v>
      </c>
      <c r="H74" s="7">
        <v>0</v>
      </c>
      <c r="I74" s="3">
        <f t="shared" si="17"/>
        <v>3.9275688081360036E-3</v>
      </c>
      <c r="N74" s="63">
        <v>4883314</v>
      </c>
      <c r="O74" s="67">
        <f t="shared" si="18"/>
        <v>1.4852762060474953E-5</v>
      </c>
      <c r="P74" s="67">
        <f t="shared" si="19"/>
        <v>0</v>
      </c>
      <c r="Q74" s="67">
        <f t="shared" si="20"/>
        <v>0.80428348620137957</v>
      </c>
      <c r="R74" s="64"/>
      <c r="S74" s="64"/>
      <c r="T74" s="64"/>
    </row>
    <row r="75" spans="1:20" s="6" customFormat="1" ht="19" x14ac:dyDescent="0.25">
      <c r="A75" s="6" t="s">
        <v>15</v>
      </c>
      <c r="B75" s="9">
        <v>0</v>
      </c>
      <c r="C75" s="7">
        <v>3860058</v>
      </c>
      <c r="D75" s="7">
        <v>10959055</v>
      </c>
      <c r="E75" s="6">
        <f t="shared" si="14"/>
        <v>3.7997010782671044E-2</v>
      </c>
      <c r="F75" s="6">
        <f t="shared" si="15"/>
        <v>0.35892831924003343</v>
      </c>
      <c r="G75" s="8">
        <f t="shared" si="16"/>
        <v>6.435656549637647E-5</v>
      </c>
      <c r="H75" s="7">
        <v>0</v>
      </c>
      <c r="I75" s="3">
        <f t="shared" si="17"/>
        <v>0.10364692763068696</v>
      </c>
      <c r="N75" s="63">
        <v>425523771</v>
      </c>
      <c r="O75" s="67">
        <f t="shared" si="18"/>
        <v>1.5124082338604879E-4</v>
      </c>
      <c r="P75" s="67">
        <f t="shared" si="19"/>
        <v>0</v>
      </c>
      <c r="Q75" s="67">
        <f t="shared" si="20"/>
        <v>0.2435749415058811</v>
      </c>
      <c r="R75" s="64"/>
      <c r="S75" s="64"/>
      <c r="T75" s="64"/>
    </row>
    <row r="76" spans="1:20" s="6" customFormat="1" ht="19" x14ac:dyDescent="0.25">
      <c r="A76" s="6" t="s">
        <v>14</v>
      </c>
      <c r="B76" s="9">
        <v>0</v>
      </c>
      <c r="C76" s="7">
        <v>776617</v>
      </c>
      <c r="D76" s="7">
        <v>3429627</v>
      </c>
      <c r="E76" s="6">
        <f t="shared" si="14"/>
        <v>7.6447360436049504E-3</v>
      </c>
      <c r="F76" s="6">
        <f t="shared" si="15"/>
        <v>0.11232631415119626</v>
      </c>
      <c r="G76" s="8">
        <f t="shared" si="16"/>
        <v>2.0140332779937792E-5</v>
      </c>
      <c r="H76" s="7">
        <v>0</v>
      </c>
      <c r="I76" s="3">
        <f t="shared" si="17"/>
        <v>2.0853045730339081E-2</v>
      </c>
      <c r="N76" s="63">
        <v>212476386</v>
      </c>
      <c r="O76" s="67">
        <f t="shared" si="18"/>
        <v>9.4788569963430159E-5</v>
      </c>
      <c r="P76" s="67">
        <f t="shared" si="19"/>
        <v>0</v>
      </c>
      <c r="Q76" s="67">
        <f t="shared" si="20"/>
        <v>9.8142886006819988E-2</v>
      </c>
      <c r="R76" s="64"/>
      <c r="S76" s="64"/>
      <c r="T76" s="64"/>
    </row>
    <row r="77" spans="1:20" s="6" customFormat="1" ht="19" x14ac:dyDescent="0.25">
      <c r="A77" s="6" t="s">
        <v>13</v>
      </c>
      <c r="B77" s="9">
        <v>0</v>
      </c>
      <c r="C77" s="7">
        <v>1283636</v>
      </c>
      <c r="D77" s="7">
        <v>1939270</v>
      </c>
      <c r="E77" s="6">
        <f t="shared" si="14"/>
        <v>1.2635647167225136E-2</v>
      </c>
      <c r="F77" s="6">
        <f t="shared" si="15"/>
        <v>6.3514502085500954E-2</v>
      </c>
      <c r="G77" s="8">
        <f t="shared" si="16"/>
        <v>1.1388277252934492E-5</v>
      </c>
      <c r="H77" s="7">
        <v>0</v>
      </c>
      <c r="I77" s="3">
        <f t="shared" si="17"/>
        <v>3.446707992370697E-2</v>
      </c>
      <c r="N77" s="63">
        <v>168152921</v>
      </c>
      <c r="O77" s="67">
        <f t="shared" si="18"/>
        <v>6.7725717669421225E-5</v>
      </c>
      <c r="P77" s="67">
        <f t="shared" si="19"/>
        <v>0</v>
      </c>
      <c r="Q77" s="67">
        <f t="shared" si="20"/>
        <v>0.20497461310057746</v>
      </c>
      <c r="R77" s="64"/>
      <c r="S77" s="64"/>
      <c r="T77" s="64"/>
    </row>
    <row r="78" spans="1:20" s="6" customFormat="1" ht="19" x14ac:dyDescent="0.25">
      <c r="A78" s="6" t="s">
        <v>12</v>
      </c>
      <c r="B78" s="9">
        <v>0</v>
      </c>
      <c r="C78" s="7">
        <v>22198</v>
      </c>
      <c r="D78" s="7">
        <v>7238</v>
      </c>
      <c r="E78" s="6">
        <f t="shared" si="14"/>
        <v>2.1850906005913172E-4</v>
      </c>
      <c r="F78" s="6">
        <f t="shared" si="15"/>
        <v>2.3705722570599035E-4</v>
      </c>
      <c r="G78" s="8">
        <f t="shared" si="16"/>
        <v>4.250483468353548E-8</v>
      </c>
      <c r="H78" s="7">
        <v>0</v>
      </c>
      <c r="I78" s="3">
        <f t="shared" si="17"/>
        <v>5.9604143242044272E-4</v>
      </c>
      <c r="N78" s="63">
        <v>919883</v>
      </c>
      <c r="O78" s="67">
        <f t="shared" si="18"/>
        <v>4.6206783562187239E-5</v>
      </c>
      <c r="P78" s="67">
        <f t="shared" si="19"/>
        <v>0</v>
      </c>
      <c r="Q78" s="67">
        <f t="shared" si="20"/>
        <v>0.64795352498137559</v>
      </c>
      <c r="R78" s="64"/>
      <c r="S78" s="64"/>
      <c r="T78" s="64"/>
    </row>
    <row r="79" spans="1:20" s="6" customFormat="1" ht="19" x14ac:dyDescent="0.25">
      <c r="A79" s="6" t="s">
        <v>11</v>
      </c>
      <c r="B79" s="9">
        <v>0</v>
      </c>
      <c r="C79" s="7">
        <v>120162</v>
      </c>
      <c r="D79" s="7">
        <v>31121</v>
      </c>
      <c r="E79" s="6">
        <f t="shared" si="14"/>
        <v>1.1828311413111716E-3</v>
      </c>
      <c r="F79" s="6">
        <f t="shared" si="15"/>
        <v>1.0192674663161267E-3</v>
      </c>
      <c r="G79" s="8">
        <f t="shared" si="16"/>
        <v>1.8275669524541414E-7</v>
      </c>
      <c r="H79" s="7">
        <v>0</v>
      </c>
      <c r="I79" s="3">
        <f t="shared" si="17"/>
        <v>3.2264857465765045E-3</v>
      </c>
      <c r="N79" s="63">
        <v>5367537</v>
      </c>
      <c r="O79" s="67">
        <f t="shared" si="18"/>
        <v>3.4048520810460015E-5</v>
      </c>
      <c r="P79" s="67">
        <f t="shared" si="19"/>
        <v>0</v>
      </c>
      <c r="Q79" s="67">
        <f t="shared" si="20"/>
        <v>0.60111103967732393</v>
      </c>
      <c r="R79" s="64"/>
      <c r="S79" s="64"/>
      <c r="T79" s="64"/>
    </row>
    <row r="80" spans="1:20" s="6" customFormat="1" ht="19" x14ac:dyDescent="0.25">
      <c r="A80" s="6" t="s">
        <v>10</v>
      </c>
      <c r="B80" s="9">
        <v>0</v>
      </c>
      <c r="C80" s="7">
        <v>86712</v>
      </c>
      <c r="D80" s="7">
        <v>57921</v>
      </c>
      <c r="E80" s="6">
        <f t="shared" si="14"/>
        <v>8.5356147472057976E-4</v>
      </c>
      <c r="F80" s="6">
        <f t="shared" si="15"/>
        <v>1.8970145855369807E-3</v>
      </c>
      <c r="G80" s="8">
        <f t="shared" si="16"/>
        <v>3.401385092159517E-7</v>
      </c>
      <c r="H80" s="7">
        <v>0</v>
      </c>
      <c r="I80" s="3">
        <f t="shared" si="17"/>
        <v>2.3283153747203095E-3</v>
      </c>
      <c r="N80" s="63">
        <v>2933055</v>
      </c>
      <c r="O80" s="67">
        <f t="shared" si="18"/>
        <v>1.1596731367667899E-4</v>
      </c>
      <c r="P80" s="67">
        <f t="shared" si="19"/>
        <v>0</v>
      </c>
      <c r="Q80" s="67">
        <f t="shared" si="20"/>
        <v>0.79381920036286724</v>
      </c>
      <c r="R80" s="64"/>
      <c r="S80" s="64"/>
      <c r="T80" s="64"/>
    </row>
    <row r="81" spans="1:99" s="6" customFormat="1" ht="19" x14ac:dyDescent="0.25">
      <c r="A81" s="6" t="s">
        <v>9</v>
      </c>
      <c r="B81" s="9">
        <v>0</v>
      </c>
      <c r="C81" s="7">
        <v>7679</v>
      </c>
      <c r="D81" s="7">
        <v>17955</v>
      </c>
      <c r="E81" s="6">
        <f t="shared" si="14"/>
        <v>7.5589290575460514E-5</v>
      </c>
      <c r="F81" s="6">
        <f t="shared" si="15"/>
        <v>5.880578181197923E-4</v>
      </c>
      <c r="G81" s="8">
        <f t="shared" si="16"/>
        <v>1.05439942904515E-7</v>
      </c>
      <c r="H81" s="7">
        <v>0</v>
      </c>
      <c r="I81" s="3">
        <f t="shared" si="17"/>
        <v>2.0618984411012613E-4</v>
      </c>
      <c r="N81" s="63">
        <v>5480215</v>
      </c>
      <c r="O81" s="67">
        <f t="shared" si="18"/>
        <v>1.9240110635169424E-5</v>
      </c>
      <c r="P81" s="67">
        <f t="shared" si="19"/>
        <v>0</v>
      </c>
      <c r="Q81" s="67">
        <f t="shared" si="20"/>
        <v>3.7624407821613956E-2</v>
      </c>
      <c r="R81" s="64"/>
      <c r="S81" s="64"/>
      <c r="T81" s="64"/>
    </row>
    <row r="82" spans="1:99" s="6" customFormat="1" ht="19" x14ac:dyDescent="0.25">
      <c r="A82" s="6" t="s">
        <v>8</v>
      </c>
      <c r="B82" s="9">
        <v>0</v>
      </c>
      <c r="C82" s="7">
        <v>34879</v>
      </c>
      <c r="D82" s="7">
        <v>189894</v>
      </c>
      <c r="E82" s="6">
        <f t="shared" si="14"/>
        <v>3.4333622424553812E-4</v>
      </c>
      <c r="F82" s="6">
        <f t="shared" si="15"/>
        <v>6.2193623678106292E-3</v>
      </c>
      <c r="G82" s="8">
        <f t="shared" si="16"/>
        <v>1.1151441112731814E-6</v>
      </c>
      <c r="H82" s="7">
        <v>0</v>
      </c>
      <c r="I82" s="3">
        <f t="shared" si="17"/>
        <v>9.3654063976000639E-4</v>
      </c>
      <c r="N82" s="63">
        <v>11598620</v>
      </c>
      <c r="O82" s="67">
        <f t="shared" si="18"/>
        <v>9.6144550927022474E-5</v>
      </c>
      <c r="P82" s="67">
        <f t="shared" si="19"/>
        <v>0</v>
      </c>
      <c r="Q82" s="67">
        <f t="shared" si="20"/>
        <v>8.0745868022230785E-2</v>
      </c>
      <c r="R82" s="64"/>
      <c r="S82" s="64"/>
      <c r="T82" s="64"/>
    </row>
    <row r="83" spans="1:99" s="6" customFormat="1" ht="19" x14ac:dyDescent="0.25">
      <c r="A83" s="6" t="s">
        <v>7</v>
      </c>
      <c r="B83" s="9">
        <v>0</v>
      </c>
      <c r="C83" s="7">
        <v>45989</v>
      </c>
      <c r="D83" s="7">
        <v>1355891</v>
      </c>
      <c r="E83" s="6">
        <f t="shared" si="14"/>
        <v>4.5269903428504408E-4</v>
      </c>
      <c r="F83" s="6">
        <f t="shared" si="15"/>
        <v>4.4407814150279216E-2</v>
      </c>
      <c r="G83" s="8">
        <f t="shared" si="16"/>
        <v>7.9624098927733632E-6</v>
      </c>
      <c r="H83" s="7">
        <v>0</v>
      </c>
      <c r="I83" s="3">
        <f t="shared" si="17"/>
        <v>1.2348567184243509E-3</v>
      </c>
      <c r="N83" s="63">
        <v>13934128</v>
      </c>
      <c r="O83" s="67">
        <f t="shared" si="18"/>
        <v>5.7143223406397325E-4</v>
      </c>
      <c r="P83" s="67">
        <f t="shared" si="19"/>
        <v>0</v>
      </c>
      <c r="Q83" s="67">
        <f t="shared" si="20"/>
        <v>8.862102590304545E-2</v>
      </c>
      <c r="R83" s="64"/>
      <c r="S83" s="64"/>
      <c r="T83" s="64"/>
    </row>
    <row r="84" spans="1:99" s="6" customFormat="1" ht="19" x14ac:dyDescent="0.25">
      <c r="A84" s="6" t="s">
        <v>6</v>
      </c>
      <c r="B84" s="9">
        <v>0</v>
      </c>
      <c r="C84" s="7">
        <v>116825</v>
      </c>
      <c r="D84" s="7">
        <v>87572</v>
      </c>
      <c r="E84" s="6">
        <f t="shared" si="14"/>
        <v>1.1499829237502507E-3</v>
      </c>
      <c r="F84" s="6">
        <f t="shared" si="15"/>
        <v>2.8681369673286801E-3</v>
      </c>
      <c r="G84" s="8">
        <f t="shared" si="16"/>
        <v>5.1426269451596703E-7</v>
      </c>
      <c r="H84" s="7">
        <v>0</v>
      </c>
      <c r="I84" s="3">
        <f t="shared" si="17"/>
        <v>3.1368835184484288E-3</v>
      </c>
      <c r="N84" s="63">
        <v>5802961</v>
      </c>
      <c r="O84" s="67">
        <f t="shared" si="18"/>
        <v>8.8620739397691459E-5</v>
      </c>
      <c r="P84" s="67">
        <f t="shared" si="19"/>
        <v>0</v>
      </c>
      <c r="Q84" s="67">
        <f t="shared" si="20"/>
        <v>0.54056601766726142</v>
      </c>
      <c r="R84" s="64"/>
      <c r="S84" s="64"/>
      <c r="T84" s="64"/>
    </row>
    <row r="85" spans="1:99" s="6" customFormat="1" ht="19" x14ac:dyDescent="0.25">
      <c r="A85" s="6" t="s">
        <v>5</v>
      </c>
      <c r="B85" s="9">
        <v>0</v>
      </c>
      <c r="C85" s="7">
        <v>1189285</v>
      </c>
      <c r="D85" s="7">
        <v>377213</v>
      </c>
      <c r="E85" s="6">
        <f t="shared" si="14"/>
        <v>1.1706890147419787E-2</v>
      </c>
      <c r="F85" s="6">
        <f t="shared" si="15"/>
        <v>1.2354388958308061E-2</v>
      </c>
      <c r="G85" s="8">
        <f t="shared" si="16"/>
        <v>2.2151666490025517E-6</v>
      </c>
      <c r="H85" s="7">
        <v>0</v>
      </c>
      <c r="I85" s="3">
        <f t="shared" si="17"/>
        <v>3.1933648750164259E-2</v>
      </c>
      <c r="N85" s="63">
        <v>19488914</v>
      </c>
      <c r="O85" s="67">
        <f t="shared" si="18"/>
        <v>1.1366290851314504E-4</v>
      </c>
      <c r="P85" s="67">
        <f t="shared" si="19"/>
        <v>0</v>
      </c>
      <c r="Q85" s="67">
        <f t="shared" si="20"/>
        <v>1.6385545520989142</v>
      </c>
      <c r="R85" s="64"/>
      <c r="S85" s="64"/>
      <c r="T85" s="64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s="1" customFormat="1" ht="18" x14ac:dyDescent="0.2">
      <c r="A86" s="1" t="s">
        <v>4</v>
      </c>
      <c r="E86" s="1">
        <f t="shared" si="14"/>
        <v>0</v>
      </c>
      <c r="F86" s="1">
        <f t="shared" si="15"/>
        <v>0</v>
      </c>
      <c r="G86" s="4">
        <f t="shared" si="16"/>
        <v>0</v>
      </c>
      <c r="H86" s="5">
        <v>8.5009999999999999E-3</v>
      </c>
      <c r="I86" s="3">
        <v>0</v>
      </c>
      <c r="J86" s="55" t="s">
        <v>0</v>
      </c>
      <c r="K86" s="1" t="s">
        <v>3</v>
      </c>
      <c r="L86" s="55" t="s">
        <v>0</v>
      </c>
      <c r="N86" s="69">
        <v>3709378</v>
      </c>
      <c r="O86" s="67">
        <f>(G86/N86)*10^9</f>
        <v>0</v>
      </c>
      <c r="P86" s="67">
        <f t="shared" si="19"/>
        <v>2.2917588878782373</v>
      </c>
      <c r="Q86" s="67">
        <f t="shared" si="20"/>
        <v>0</v>
      </c>
      <c r="R86" s="64"/>
      <c r="S86" s="64"/>
      <c r="T86" s="64"/>
    </row>
    <row r="87" spans="1:99" s="1" customFormat="1" ht="18" x14ac:dyDescent="0.2">
      <c r="A87" s="1" t="s">
        <v>2</v>
      </c>
      <c r="E87" s="1">
        <f t="shared" si="14"/>
        <v>0</v>
      </c>
      <c r="F87" s="1">
        <f t="shared" si="15"/>
        <v>0</v>
      </c>
      <c r="G87" s="4">
        <f t="shared" si="16"/>
        <v>0</v>
      </c>
      <c r="H87" s="2">
        <v>3.7342460000000001E-3</v>
      </c>
      <c r="I87" s="3">
        <v>0</v>
      </c>
      <c r="J87" s="55" t="s">
        <v>0</v>
      </c>
      <c r="K87" s="55" t="s">
        <v>1</v>
      </c>
      <c r="L87" s="55" t="s">
        <v>0</v>
      </c>
      <c r="N87" s="69">
        <v>2034765</v>
      </c>
      <c r="O87" s="67">
        <f t="shared" si="18"/>
        <v>0</v>
      </c>
      <c r="P87" s="67">
        <f t="shared" si="19"/>
        <v>1.8352222492523707</v>
      </c>
      <c r="Q87" s="67">
        <f t="shared" si="20"/>
        <v>0</v>
      </c>
      <c r="R87" s="64"/>
      <c r="S87" s="64"/>
      <c r="T87" s="64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x14ac:dyDescent="0.2">
      <c r="F88" s="46" t="s">
        <v>100</v>
      </c>
      <c r="G88" s="47">
        <f>SUM(G2:G87)</f>
        <v>1.0200084244700005</v>
      </c>
      <c r="H88" s="47">
        <f>SUM(H2:H87)</f>
        <v>1.143190192</v>
      </c>
      <c r="I88" s="47">
        <f>SUM(I2:I87)</f>
        <v>4.7610240625200007</v>
      </c>
      <c r="O88" s="64"/>
      <c r="P88" s="64"/>
      <c r="Q88" s="64"/>
    </row>
    <row r="89" spans="1:99" x14ac:dyDescent="0.2">
      <c r="O89" s="64"/>
      <c r="P89" s="64"/>
      <c r="Q89" s="64"/>
    </row>
    <row r="90" spans="1:99" x14ac:dyDescent="0.2">
      <c r="O90" s="64"/>
      <c r="P90" s="64"/>
      <c r="Q90" s="64"/>
    </row>
    <row r="91" spans="1:99" x14ac:dyDescent="0.2">
      <c r="O91" s="64"/>
      <c r="P91" s="64"/>
      <c r="Q91" s="64"/>
    </row>
    <row r="92" spans="1:99" x14ac:dyDescent="0.2">
      <c r="O92" s="64"/>
      <c r="P92" s="64"/>
      <c r="Q92" s="64"/>
    </row>
    <row r="93" spans="1:99" x14ac:dyDescent="0.2">
      <c r="O93" s="64"/>
      <c r="P93" s="64"/>
      <c r="Q93" s="64"/>
    </row>
    <row r="94" spans="1:99" x14ac:dyDescent="0.2">
      <c r="O94" s="64"/>
      <c r="P94" s="64"/>
      <c r="Q94" s="64"/>
    </row>
    <row r="95" spans="1:99" x14ac:dyDescent="0.2">
      <c r="O95" s="64"/>
      <c r="P95" s="64"/>
      <c r="Q95" s="64"/>
    </row>
    <row r="96" spans="1:99" x14ac:dyDescent="0.2">
      <c r="O96" s="64"/>
      <c r="P96" s="64"/>
      <c r="Q96" s="64"/>
    </row>
    <row r="97" spans="15:17" x14ac:dyDescent="0.2">
      <c r="O97" s="64"/>
      <c r="P97" s="64"/>
      <c r="Q97" s="64"/>
    </row>
    <row r="98" spans="15:17" x14ac:dyDescent="0.2">
      <c r="O98" s="64"/>
      <c r="P98" s="64"/>
      <c r="Q98" s="64"/>
    </row>
    <row r="99" spans="15:17" x14ac:dyDescent="0.2">
      <c r="O99" s="64"/>
      <c r="P99" s="64"/>
      <c r="Q99" s="64"/>
    </row>
    <row r="100" spans="15:17" x14ac:dyDescent="0.2">
      <c r="O100" s="64"/>
      <c r="P100" s="64"/>
      <c r="Q100" s="64"/>
    </row>
    <row r="101" spans="15:17" x14ac:dyDescent="0.2">
      <c r="O101" s="64"/>
      <c r="P101" s="64"/>
      <c r="Q101" s="64"/>
    </row>
    <row r="102" spans="15:17" x14ac:dyDescent="0.2">
      <c r="O102" s="64"/>
      <c r="P102" s="64"/>
      <c r="Q102" s="64"/>
    </row>
    <row r="103" spans="15:17" x14ac:dyDescent="0.2">
      <c r="O103" s="64"/>
      <c r="P103" s="64"/>
      <c r="Q103" s="64"/>
    </row>
    <row r="104" spans="15:17" x14ac:dyDescent="0.2">
      <c r="O104" s="64"/>
      <c r="P104" s="64"/>
      <c r="Q104" s="64"/>
    </row>
    <row r="105" spans="15:17" x14ac:dyDescent="0.2">
      <c r="O105" s="64"/>
      <c r="P105" s="64"/>
      <c r="Q105" s="64"/>
    </row>
    <row r="106" spans="15:17" x14ac:dyDescent="0.2">
      <c r="O106" s="64"/>
      <c r="P106" s="64"/>
      <c r="Q106" s="64"/>
    </row>
    <row r="107" spans="15:17" x14ac:dyDescent="0.2">
      <c r="O107" s="64"/>
      <c r="P107" s="64"/>
      <c r="Q107" s="64"/>
    </row>
    <row r="108" spans="15:17" x14ac:dyDescent="0.2">
      <c r="O108" s="64"/>
      <c r="P108" s="64"/>
      <c r="Q108" s="64"/>
    </row>
    <row r="109" spans="15:17" x14ac:dyDescent="0.2">
      <c r="O109" s="64"/>
      <c r="P109" s="64"/>
      <c r="Q109" s="64"/>
    </row>
    <row r="110" spans="15:17" x14ac:dyDescent="0.2">
      <c r="O110" s="64"/>
      <c r="P110" s="64"/>
      <c r="Q110" s="64"/>
    </row>
    <row r="111" spans="15:17" x14ac:dyDescent="0.2">
      <c r="O111" s="64"/>
      <c r="P111" s="64"/>
      <c r="Q111" s="64"/>
    </row>
    <row r="112" spans="15:17" x14ac:dyDescent="0.2">
      <c r="O112" s="64"/>
      <c r="P112" s="64"/>
      <c r="Q112" s="64"/>
    </row>
    <row r="113" spans="15:17" x14ac:dyDescent="0.2">
      <c r="O113" s="64"/>
      <c r="P113" s="64"/>
      <c r="Q113" s="64"/>
    </row>
    <row r="114" spans="15:17" x14ac:dyDescent="0.2">
      <c r="O114" s="64"/>
      <c r="P114" s="64"/>
      <c r="Q114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Ansir Ilyas</dc:creator>
  <cp:lastModifiedBy>Ansir Ilyas</cp:lastModifiedBy>
  <dcterms:created xsi:type="dcterms:W3CDTF">2025-06-01T17:04:13Z</dcterms:created>
  <dcterms:modified xsi:type="dcterms:W3CDTF">2025-06-11T23:05:06Z</dcterms:modified>
</cp:coreProperties>
</file>